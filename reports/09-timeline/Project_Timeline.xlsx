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line" sheetId="1" state="visible" r:id="rId3"/>
    <sheet name="Done so far" sheetId="2" state="visible" r:id="rId4"/>
    <sheet name="Marks track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<sst xmlns="http://schemas.openxmlformats.org/spreadsheetml/2006/main" count="154" uniqueCount="102">
  <si>
    <t xml:space="preserve">POS System: 10-week project timeline</t>
  </si>
  <si>
    <t xml:space="preserve">Project start (Monday of week 1)</t>
  </si>
  <si>
    <t xml:space="preserve">Plan start date. Change it and every week updates.</t>
  </si>
  <si>
    <t xml:space="preserve">Week</t>
  </si>
  <si>
    <t xml:space="preserve">Starts</t>
  </si>
  <si>
    <t xml:space="preserve">Ends</t>
  </si>
  <si>
    <t xml:space="preserve">Phase</t>
  </si>
  <si>
    <t xml:space="preserve">Tasks</t>
  </si>
  <si>
    <t xml:space="preserve">Marks component</t>
  </si>
  <si>
    <t xml:space="preserve">Status</t>
  </si>
  <si>
    <t xml:space="preserve">Evidence (commits and files)</t>
  </si>
  <si>
    <t xml:space="preserve">Setup and documents</t>
  </si>
  <si>
    <t xml:space="preserve">Create the team repo and report folders. Upload the backend. Write the idea, abstract and feature list. Set up the frontend config and Redux Toolkit part 1. Write the Postman testing report and the commit log.</t>
  </si>
  <si>
    <t xml:space="preserve">Idea &amp; Abstract, Weekly Progress, Implementation, Testing</t>
  </si>
  <si>
    <t xml:space="preserve">Done</t>
  </si>
  <si>
    <t xml:space="preserve">e154036, 2016d55, 76f7ec5, ae83e2e, b4a6f5a, 6891d41 to 5e1ae71 (12 Redux commits), ba6b43c, ba99aad, c61014c</t>
  </si>
  <si>
    <t xml:space="preserve">Design and SRS</t>
  </si>
  <si>
    <t xml:space="preserve">Commit the UML and ER diagrams. Write the SRS in IEEE format. Finish Redux part 2 and globleState.js. Push the Branch Manager and Cashier pages.</t>
  </si>
  <si>
    <t xml:space="preserve">SRS, Design, Implementation</t>
  </si>
  <si>
    <t xml:space="preserve">In progress</t>
  </si>
  <si>
    <t xml:space="preserve">Diagrams made, commit pending. Customers.jsx added by a teammate. Redux part 2 assigned to Subhash.</t>
  </si>
  <si>
    <t xml:space="preserve">Frontend: auth and super admin</t>
  </si>
  <si>
    <t xml:space="preserve">Login, forgot password, reset password, onboarding and landing page. Super admin dashboard, stores, pending requests and subscription plans.</t>
  </si>
  <si>
    <t xml:space="preserve">Implementation</t>
  </si>
  <si>
    <t xml:space="preserve">Planned</t>
  </si>
  <si>
    <t xml:space="preserve">Frontend: store admin</t>
  </si>
  <si>
    <t xml:space="preserve">Branches, categories, products, employees, inventory, store dashboard and alerts.</t>
  </si>
  <si>
    <t xml:space="preserve">Frontend: branch manager and cashier</t>
  </si>
  <si>
    <t xml:space="preserve">Branch manager orders, refunds, inventory, reports. Cashier POS screen, returns, order history, customer lookup and shift summary.</t>
  </si>
  <si>
    <t xml:space="preserve">Payments and subscriptions</t>
  </si>
  <si>
    <t xml:space="preserve">Razorpay and Stripe checkout, subscription upgrade, payment status and email receipts.</t>
  </si>
  <si>
    <t xml:space="preserve">Testing</t>
  </si>
  <si>
    <t xml:space="preserve">Run the Postman collection with all role tokens and record results. Add negative and security tests. Write unit tests for key services.</t>
  </si>
  <si>
    <t xml:space="preserve">Report and 96 test cases written, results to be recorded.</t>
  </si>
  <si>
    <t xml:space="preserve">Code quality and fixes</t>
  </si>
  <si>
    <t xml:space="preserve">Axios interceptor, logout fix, API URL in env file, remove console logs, fix security findings, update README.</t>
  </si>
  <si>
    <t xml:space="preserve">Implementation &amp; Code Quality</t>
  </si>
  <si>
    <t xml:space="preserve">Presentation and viva prep</t>
  </si>
  <si>
    <t xml:space="preserve">Report PPT, demo script, viva questions and final documents.</t>
  </si>
  <si>
    <t xml:space="preserve">Presentation, Demo &amp; Viva</t>
  </si>
  <si>
    <t xml:space="preserve">Final demo and submission</t>
  </si>
  <si>
    <t xml:space="preserve">Full demo run, final checks, final commit log and submission.</t>
  </si>
  <si>
    <t xml:space="preserve">Demo &amp; Viva, Weekly Progress</t>
  </si>
  <si>
    <t xml:space="preserve">Weeks 2 to 10 are a suggested plan. Replace them with your official timeline if you have one, and set Status as the work moves.</t>
  </si>
  <si>
    <t xml:space="preserve">Done weeks</t>
  </si>
  <si>
    <t xml:space="preserve">Work completed so far</t>
  </si>
  <si>
    <t xml:space="preserve">#</t>
  </si>
  <si>
    <t xml:space="preserve">Item</t>
  </si>
  <si>
    <t xml:space="preserve">Evidence</t>
  </si>
  <si>
    <t xml:space="preserve">Team repo created and report folders set up</t>
  </si>
  <si>
    <t xml:space="preserve">Weekly Progress</t>
  </si>
  <si>
    <t xml:space="preserve">ae83e2e, 0de054b</t>
  </si>
  <si>
    <t xml:space="preserve">Full Spring Boot backend uploaded</t>
  </si>
  <si>
    <t xml:space="preserve">76f7ec5</t>
  </si>
  <si>
    <t xml:space="preserve">Project idea, abstract and objectives</t>
  </si>
  <si>
    <t xml:space="preserve">Idea &amp; Abstract</t>
  </si>
  <si>
    <t xml:space="preserve">e154036</t>
  </si>
  <si>
    <t xml:space="preserve">Features, modules and tech stack</t>
  </si>
  <si>
    <t xml:space="preserve">SRS / Documentation</t>
  </si>
  <si>
    <t xml:space="preserve">2016d55</t>
  </si>
  <si>
    <t xml:space="preserve">Frontend config, API client and utils</t>
  </si>
  <si>
    <t xml:space="preserve">b4a6f5a</t>
  </si>
  <si>
    <t xml:space="preserve">Redux Toolkit part 1: adminDashboard, auth, branch, branchAnalytics, cart, category, customer, employee, inventory, onboarding, order</t>
  </si>
  <si>
    <t xml:space="preserve">6891d41, fa37aff, b800862, 59c7e45, 3742915, 391ed0a, c59138e, ded8c80, 7fd0937, ce4e04a, 5e1ae71</t>
  </si>
  <si>
    <t xml:space="preserve">Commit log updated</t>
  </si>
  <si>
    <t xml:space="preserve">ba6b43c</t>
  </si>
  <si>
    <t xml:space="preserve">Postman testing report (2 parts)</t>
  </si>
  <si>
    <t xml:space="preserve">ba99aad, c61014c</t>
  </si>
  <si>
    <t xml:space="preserve">API test case sheet (96 cases)</t>
  </si>
  <si>
    <t xml:space="preserve">POS_Backend_Test_Cases.xlsx</t>
  </si>
  <si>
    <t xml:space="preserve">Made, not committed</t>
  </si>
  <si>
    <t xml:space="preserve">UML, ER and architecture diagrams (20)</t>
  </si>
  <si>
    <t xml:space="preserve">Design</t>
  </si>
  <si>
    <t xml:space="preserve">POS_UML_Diagrams_v2</t>
  </si>
  <si>
    <t xml:space="preserve">README updated</t>
  </si>
  <si>
    <t xml:space="preserve">README.md</t>
  </si>
  <si>
    <t xml:space="preserve">Branch Manager Customers page</t>
  </si>
  <si>
    <t xml:space="preserve">Teammate commit, see git log</t>
  </si>
  <si>
    <t xml:space="preserve">Done by teammate</t>
  </si>
  <si>
    <t xml:space="preserve">Cashier pages</t>
  </si>
  <si>
    <t xml:space="preserve">Teammate, not pushed yet</t>
  </si>
  <si>
    <t xml:space="preserve">Redux Toolkit part 2 and globleState.js</t>
  </si>
  <si>
    <t xml:space="preserve">Subhash, not pushed yet</t>
  </si>
  <si>
    <t xml:space="preserve">Progress by marks component</t>
  </si>
  <si>
    <t xml:space="preserve">Component</t>
  </si>
  <si>
    <t xml:space="preserve">Marks</t>
  </si>
  <si>
    <t xml:space="preserve">Notes</t>
  </si>
  <si>
    <t xml:space="preserve">Committed in reports.</t>
  </si>
  <si>
    <t xml:space="preserve">Not started</t>
  </si>
  <si>
    <t xml:space="preserve">IEEE format SRS still to be written.</t>
  </si>
  <si>
    <t xml:space="preserve">Design (Use-case, Class, ER)</t>
  </si>
  <si>
    <t xml:space="preserve">Started</t>
  </si>
  <si>
    <t xml:space="preserve">Diagrams made, commit pending.</t>
  </si>
  <si>
    <t xml:space="preserve">Weekly Progress (tracking sheet)</t>
  </si>
  <si>
    <t xml:space="preserve">Commit log and this timeline. Update every week.</t>
  </si>
  <si>
    <t xml:space="preserve">Backend and Redux part 1 done, pages in progress.</t>
  </si>
  <si>
    <t xml:space="preserve">Report and test cases written, results to be recorded.</t>
  </si>
  <si>
    <t xml:space="preserve">Presentation</t>
  </si>
  <si>
    <t xml:space="preserve">Demo &amp; Viva (individual)</t>
  </si>
  <si>
    <t xml:space="preserve">Total marks</t>
  </si>
  <si>
    <t xml:space="preserve">Marks with work started or done</t>
  </si>
  <si>
    <t xml:space="preserve">Share of marks started</t>
  </si>
</sst>
</file>

<file path=xl/styles.xml><?xml version="1.0" encoding="utf-8"?>
<styleSheet xmlns="http://schemas.openxmlformats.org/spreadsheetml/2006/main">
  <numFmts count="5">
    <numFmt numFmtId="164" formatCode="General"/>
    <numFmt numFmtId="165" formatCode="ddd&quot;, &quot;dd\ mmm\ yyyy"/>
    <numFmt numFmtId="166" formatCode="dd\ mmm\ yyyy"/>
    <numFmt numFmtId="167" formatCode="General"/>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EAF0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6"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A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13"/>
    <col collapsed="false" customWidth="true" hidden="false" outlineLevel="0" max="4" min="4" style="1" width="26"/>
    <col collapsed="false" customWidth="true" hidden="false" outlineLevel="0" max="5" min="5" style="1" width="70"/>
    <col collapsed="false" customWidth="true" hidden="false" outlineLevel="0" max="6" min="6" style="1" width="26"/>
    <col collapsed="false" customWidth="true" hidden="false" outlineLevel="0" max="7" min="7" style="1" width="13"/>
    <col collapsed="false" customWidth="true" hidden="false" outlineLevel="0" max="8" min="8" style="1" width="52"/>
  </cols>
  <sheetData>
    <row r="1" customFormat="false" ht="17.25" hidden="false" customHeight="true" outlineLevel="0" collapsed="false">
      <c r="A1" s="2" t="s">
        <v>0</v>
      </c>
    </row>
    <row r="3" customFormat="false" ht="15" hidden="false" customHeight="true" outlineLevel="0" collapsed="false">
      <c r="A3" s="3" t="s">
        <v>1</v>
      </c>
      <c r="B3" s="4" t="n">
        <v>46209</v>
      </c>
      <c r="C3" s="5" t="s">
        <v>2</v>
      </c>
    </row>
    <row r="5" customFormat="false" ht="15" hidden="false" customHeight="true" outlineLevel="0" collapsed="false">
      <c r="A5" s="6" t="s">
        <v>3</v>
      </c>
      <c r="B5" s="6" t="s">
        <v>4</v>
      </c>
      <c r="C5" s="6" t="s">
        <v>5</v>
      </c>
      <c r="D5" s="6" t="s">
        <v>6</v>
      </c>
      <c r="E5" s="6" t="s">
        <v>7</v>
      </c>
      <c r="F5" s="6" t="s">
        <v>8</v>
      </c>
      <c r="G5" s="6" t="s">
        <v>9</v>
      </c>
      <c r="H5" s="6" t="s">
        <v>10</v>
      </c>
    </row>
    <row r="6" customFormat="false" ht="34.5" hidden="false" customHeight="true" outlineLevel="0" collapsed="false">
      <c r="A6" s="7" t="n">
        <v>1</v>
      </c>
      <c r="B6" s="8" t="n">
        <f aca="false">$B$3+7*(A6-1)</f>
        <v>46209</v>
      </c>
      <c r="C6" s="8" t="n">
        <f aca="false">B6+6</f>
        <v>46215</v>
      </c>
      <c r="D6" s="7" t="s">
        <v>11</v>
      </c>
      <c r="E6" s="7" t="s">
        <v>12</v>
      </c>
      <c r="F6" s="7" t="s">
        <v>13</v>
      </c>
      <c r="G6" s="9" t="s">
        <v>14</v>
      </c>
      <c r="H6" s="7" t="s">
        <v>15</v>
      </c>
    </row>
    <row r="7" customFormat="false" ht="23.25" hidden="false" customHeight="true" outlineLevel="0" collapsed="false">
      <c r="A7" s="10" t="n">
        <v>2</v>
      </c>
      <c r="B7" s="11" t="n">
        <f aca="false">$B$3+7*(A7-1)</f>
        <v>46216</v>
      </c>
      <c r="C7" s="11" t="n">
        <f aca="false">B7+6</f>
        <v>46222</v>
      </c>
      <c r="D7" s="10" t="s">
        <v>16</v>
      </c>
      <c r="E7" s="10" t="s">
        <v>17</v>
      </c>
      <c r="F7" s="10" t="s">
        <v>18</v>
      </c>
      <c r="G7" s="12" t="s">
        <v>19</v>
      </c>
      <c r="H7" s="10" t="s">
        <v>20</v>
      </c>
    </row>
    <row r="8" customFormat="false" ht="23.25" hidden="false" customHeight="true" outlineLevel="0" collapsed="false">
      <c r="A8" s="7" t="n">
        <v>3</v>
      </c>
      <c r="B8" s="8" t="n">
        <f aca="false">$B$3+7*(A8-1)</f>
        <v>46223</v>
      </c>
      <c r="C8" s="8" t="n">
        <f aca="false">B8+6</f>
        <v>46229</v>
      </c>
      <c r="D8" s="7" t="s">
        <v>21</v>
      </c>
      <c r="E8" s="7" t="s">
        <v>22</v>
      </c>
      <c r="F8" s="7" t="s">
        <v>23</v>
      </c>
      <c r="G8" s="9" t="s">
        <v>24</v>
      </c>
      <c r="H8" s="7"/>
    </row>
    <row r="9" customFormat="false" ht="15" hidden="false" customHeight="true" outlineLevel="0" collapsed="false">
      <c r="A9" s="10" t="n">
        <v>4</v>
      </c>
      <c r="B9" s="11" t="n">
        <f aca="false">$B$3+7*(A9-1)</f>
        <v>46230</v>
      </c>
      <c r="C9" s="11" t="n">
        <f aca="false">B9+6</f>
        <v>46236</v>
      </c>
      <c r="D9" s="10" t="s">
        <v>25</v>
      </c>
      <c r="E9" s="10" t="s">
        <v>26</v>
      </c>
      <c r="F9" s="10" t="s">
        <v>23</v>
      </c>
      <c r="G9" s="12" t="s">
        <v>24</v>
      </c>
      <c r="H9" s="10"/>
    </row>
    <row r="10" customFormat="false" ht="23.25" hidden="false" customHeight="true" outlineLevel="0" collapsed="false">
      <c r="A10" s="7" t="n">
        <v>5</v>
      </c>
      <c r="B10" s="8" t="n">
        <f aca="false">$B$3+7*(A10-1)</f>
        <v>46237</v>
      </c>
      <c r="C10" s="8" t="n">
        <f aca="false">B10+6</f>
        <v>46243</v>
      </c>
      <c r="D10" s="7" t="s">
        <v>27</v>
      </c>
      <c r="E10" s="7" t="s">
        <v>28</v>
      </c>
      <c r="F10" s="7" t="s">
        <v>23</v>
      </c>
      <c r="G10" s="9" t="s">
        <v>24</v>
      </c>
      <c r="H10" s="7"/>
    </row>
    <row r="11" customFormat="false" ht="23.25" hidden="false" customHeight="true" outlineLevel="0" collapsed="false">
      <c r="A11" s="10" t="n">
        <v>6</v>
      </c>
      <c r="B11" s="11" t="n">
        <f aca="false">$B$3+7*(A11-1)</f>
        <v>46244</v>
      </c>
      <c r="C11" s="11" t="n">
        <f aca="false">B11+6</f>
        <v>46250</v>
      </c>
      <c r="D11" s="10" t="s">
        <v>29</v>
      </c>
      <c r="E11" s="10" t="s">
        <v>30</v>
      </c>
      <c r="F11" s="10" t="s">
        <v>23</v>
      </c>
      <c r="G11" s="12" t="s">
        <v>24</v>
      </c>
      <c r="H11" s="10"/>
    </row>
    <row r="12" customFormat="false" ht="23.25" hidden="false" customHeight="true" outlineLevel="0" collapsed="false">
      <c r="A12" s="7" t="n">
        <v>7</v>
      </c>
      <c r="B12" s="8" t="n">
        <f aca="false">$B$3+7*(A12-1)</f>
        <v>46251</v>
      </c>
      <c r="C12" s="8" t="n">
        <f aca="false">B12+6</f>
        <v>46257</v>
      </c>
      <c r="D12" s="7" t="s">
        <v>31</v>
      </c>
      <c r="E12" s="7" t="s">
        <v>32</v>
      </c>
      <c r="F12" s="7" t="s">
        <v>31</v>
      </c>
      <c r="G12" s="9" t="s">
        <v>24</v>
      </c>
      <c r="H12" s="7" t="s">
        <v>33</v>
      </c>
    </row>
    <row r="13" customFormat="false" ht="23.25" hidden="false" customHeight="true" outlineLevel="0" collapsed="false">
      <c r="A13" s="10" t="n">
        <v>8</v>
      </c>
      <c r="B13" s="11" t="n">
        <f aca="false">$B$3+7*(A13-1)</f>
        <v>46258</v>
      </c>
      <c r="C13" s="11" t="n">
        <f aca="false">B13+6</f>
        <v>46264</v>
      </c>
      <c r="D13" s="10" t="s">
        <v>34</v>
      </c>
      <c r="E13" s="10" t="s">
        <v>35</v>
      </c>
      <c r="F13" s="10" t="s">
        <v>36</v>
      </c>
      <c r="G13" s="12" t="s">
        <v>24</v>
      </c>
      <c r="H13" s="10"/>
    </row>
    <row r="14" customFormat="false" ht="15" hidden="false" customHeight="true" outlineLevel="0" collapsed="false">
      <c r="A14" s="7" t="n">
        <v>9</v>
      </c>
      <c r="B14" s="8" t="n">
        <f aca="false">$B$3+7*(A14-1)</f>
        <v>46265</v>
      </c>
      <c r="C14" s="8" t="n">
        <f aca="false">B14+6</f>
        <v>46271</v>
      </c>
      <c r="D14" s="7" t="s">
        <v>37</v>
      </c>
      <c r="E14" s="7" t="s">
        <v>38</v>
      </c>
      <c r="F14" s="7" t="s">
        <v>39</v>
      </c>
      <c r="G14" s="9" t="s">
        <v>24</v>
      </c>
      <c r="H14" s="7"/>
    </row>
    <row r="15" customFormat="false" ht="15" hidden="false" customHeight="true" outlineLevel="0" collapsed="false">
      <c r="A15" s="10" t="n">
        <v>10</v>
      </c>
      <c r="B15" s="11" t="n">
        <f aca="false">$B$3+7*(A15-1)</f>
        <v>46272</v>
      </c>
      <c r="C15" s="11" t="n">
        <f aca="false">B15+6</f>
        <v>46278</v>
      </c>
      <c r="D15" s="10" t="s">
        <v>40</v>
      </c>
      <c r="E15" s="10" t="s">
        <v>41</v>
      </c>
      <c r="F15" s="10" t="s">
        <v>42</v>
      </c>
      <c r="G15" s="12" t="s">
        <v>24</v>
      </c>
      <c r="H15" s="10"/>
    </row>
    <row r="17" customFormat="false" ht="15" hidden="false" customHeight="true" outlineLevel="0" collapsed="false">
      <c r="A17" s="5" t="s">
        <v>43</v>
      </c>
    </row>
    <row r="18" customFormat="false" ht="15" hidden="false" customHeight="true" outlineLevel="0" collapsed="false">
      <c r="A18" s="3" t="s">
        <v>44</v>
      </c>
      <c r="B18" s="13" t="n">
        <f aca="false">COUNTIF(G6:G15,"Done")</f>
        <v>1</v>
      </c>
    </row>
    <row r="19" customFormat="false" ht="15" hidden="false" customHeight="true" outlineLevel="0" collapsed="false">
      <c r="A19" s="3" t="s">
        <v>19</v>
      </c>
      <c r="B19" s="13" t="n">
        <f aca="false">COUNTIF(G6:G15,"In progress")</f>
        <v>1</v>
      </c>
    </row>
    <row r="20" customFormat="false" ht="15" hidden="false" customHeight="true" outlineLevel="0" collapsed="false">
      <c r="A20" s="3" t="s">
        <v>24</v>
      </c>
      <c r="B20" s="13" t="n">
        <f aca="false">COUNTIF(G6:G15,"Planned")</f>
        <v>8</v>
      </c>
    </row>
  </sheetData>
  <dataValidations count="1">
    <dataValidation allowBlank="false" errorStyle="stop" operator="between" showDropDown="false" showErrorMessage="false" showInputMessage="false" sqref="G6:G15" type="list">
      <formula1>"Done,In progress,Planned"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62"/>
    <col collapsed="false" customWidth="true" hidden="false" outlineLevel="0" max="3" min="3" style="1" width="26"/>
    <col collapsed="false" customWidth="true" hidden="false" outlineLevel="0" max="4" min="4" style="1" width="7"/>
    <col collapsed="false" customWidth="true" hidden="false" outlineLevel="0" max="5" min="5" style="1" width="58"/>
    <col collapsed="false" customWidth="true" hidden="false" outlineLevel="0" max="6" min="6" style="1" width="22"/>
  </cols>
  <sheetData>
    <row r="1" customFormat="false" ht="17.25" hidden="false" customHeight="true" outlineLevel="0" collapsed="false">
      <c r="A1" s="2" t="s">
        <v>45</v>
      </c>
    </row>
    <row r="3" customFormat="false" ht="15" hidden="false" customHeight="true" outlineLevel="0" collapsed="false">
      <c r="A3" s="6" t="s">
        <v>46</v>
      </c>
      <c r="B3" s="6" t="s">
        <v>47</v>
      </c>
      <c r="C3" s="6" t="s">
        <v>8</v>
      </c>
      <c r="D3" s="6" t="s">
        <v>3</v>
      </c>
      <c r="E3" s="6" t="s">
        <v>48</v>
      </c>
      <c r="F3" s="6" t="s">
        <v>9</v>
      </c>
    </row>
    <row r="4" customFormat="false" ht="15" hidden="false" customHeight="true" outlineLevel="0" collapsed="false">
      <c r="A4" s="7" t="n">
        <v>1</v>
      </c>
      <c r="B4" s="7" t="s">
        <v>49</v>
      </c>
      <c r="C4" s="7" t="s">
        <v>50</v>
      </c>
      <c r="D4" s="7" t="n">
        <v>1</v>
      </c>
      <c r="E4" s="7" t="s">
        <v>51</v>
      </c>
      <c r="F4" s="7" t="s">
        <v>14</v>
      </c>
    </row>
    <row r="5" customFormat="false" ht="15" hidden="false" customHeight="true" outlineLevel="0" collapsed="false">
      <c r="A5" s="10" t="n">
        <v>2</v>
      </c>
      <c r="B5" s="10" t="s">
        <v>52</v>
      </c>
      <c r="C5" s="10" t="s">
        <v>23</v>
      </c>
      <c r="D5" s="10" t="n">
        <v>1</v>
      </c>
      <c r="E5" s="10" t="s">
        <v>53</v>
      </c>
      <c r="F5" s="10" t="s">
        <v>14</v>
      </c>
    </row>
    <row r="6" customFormat="false" ht="15" hidden="false" customHeight="true" outlineLevel="0" collapsed="false">
      <c r="A6" s="7" t="n">
        <v>3</v>
      </c>
      <c r="B6" s="7" t="s">
        <v>54</v>
      </c>
      <c r="C6" s="7" t="s">
        <v>55</v>
      </c>
      <c r="D6" s="7" t="n">
        <v>1</v>
      </c>
      <c r="E6" s="7" t="s">
        <v>56</v>
      </c>
      <c r="F6" s="7" t="s">
        <v>14</v>
      </c>
    </row>
    <row r="7" customFormat="false" ht="15" hidden="false" customHeight="true" outlineLevel="0" collapsed="false">
      <c r="A7" s="10" t="n">
        <v>4</v>
      </c>
      <c r="B7" s="10" t="s">
        <v>57</v>
      </c>
      <c r="C7" s="10" t="s">
        <v>58</v>
      </c>
      <c r="D7" s="10" t="n">
        <v>1</v>
      </c>
      <c r="E7" s="10" t="s">
        <v>59</v>
      </c>
      <c r="F7" s="10" t="s">
        <v>14</v>
      </c>
    </row>
    <row r="8" customFormat="false" ht="15" hidden="false" customHeight="true" outlineLevel="0" collapsed="false">
      <c r="A8" s="7" t="n">
        <v>5</v>
      </c>
      <c r="B8" s="7" t="s">
        <v>60</v>
      </c>
      <c r="C8" s="7" t="s">
        <v>23</v>
      </c>
      <c r="D8" s="7" t="n">
        <v>1</v>
      </c>
      <c r="E8" s="7" t="s">
        <v>61</v>
      </c>
      <c r="F8" s="7" t="s">
        <v>14</v>
      </c>
    </row>
    <row r="9" customFormat="false" ht="23.25" hidden="false" customHeight="true" outlineLevel="0" collapsed="false">
      <c r="A9" s="10" t="n">
        <v>6</v>
      </c>
      <c r="B9" s="10" t="s">
        <v>62</v>
      </c>
      <c r="C9" s="10" t="s">
        <v>23</v>
      </c>
      <c r="D9" s="10" t="n">
        <v>1</v>
      </c>
      <c r="E9" s="10" t="s">
        <v>63</v>
      </c>
      <c r="F9" s="10" t="s">
        <v>14</v>
      </c>
    </row>
    <row r="10" customFormat="false" ht="15" hidden="false" customHeight="true" outlineLevel="0" collapsed="false">
      <c r="A10" s="7" t="n">
        <v>7</v>
      </c>
      <c r="B10" s="7" t="s">
        <v>64</v>
      </c>
      <c r="C10" s="7" t="s">
        <v>50</v>
      </c>
      <c r="D10" s="7" t="n">
        <v>1</v>
      </c>
      <c r="E10" s="7" t="s">
        <v>65</v>
      </c>
      <c r="F10" s="7" t="s">
        <v>14</v>
      </c>
    </row>
    <row r="11" customFormat="false" ht="15" hidden="false" customHeight="true" outlineLevel="0" collapsed="false">
      <c r="A11" s="10" t="n">
        <v>8</v>
      </c>
      <c r="B11" s="10" t="s">
        <v>66</v>
      </c>
      <c r="C11" s="10" t="s">
        <v>31</v>
      </c>
      <c r="D11" s="10" t="n">
        <v>1</v>
      </c>
      <c r="E11" s="10" t="s">
        <v>67</v>
      </c>
      <c r="F11" s="10" t="s">
        <v>14</v>
      </c>
    </row>
    <row r="12" customFormat="false" ht="15" hidden="false" customHeight="true" outlineLevel="0" collapsed="false">
      <c r="A12" s="7" t="n">
        <v>9</v>
      </c>
      <c r="B12" s="7" t="s">
        <v>68</v>
      </c>
      <c r="C12" s="7" t="s">
        <v>31</v>
      </c>
      <c r="D12" s="7" t="n">
        <v>1</v>
      </c>
      <c r="E12" s="7" t="s">
        <v>69</v>
      </c>
      <c r="F12" s="7" t="s">
        <v>70</v>
      </c>
    </row>
    <row r="13" customFormat="false" ht="15" hidden="false" customHeight="true" outlineLevel="0" collapsed="false">
      <c r="A13" s="10" t="n">
        <v>10</v>
      </c>
      <c r="B13" s="10" t="s">
        <v>71</v>
      </c>
      <c r="C13" s="10" t="s">
        <v>72</v>
      </c>
      <c r="D13" s="10" t="n">
        <v>1</v>
      </c>
      <c r="E13" s="10" t="s">
        <v>73</v>
      </c>
      <c r="F13" s="10" t="s">
        <v>70</v>
      </c>
    </row>
    <row r="14" customFormat="false" ht="15" hidden="false" customHeight="true" outlineLevel="0" collapsed="false">
      <c r="A14" s="7" t="n">
        <v>11</v>
      </c>
      <c r="B14" s="7" t="s">
        <v>74</v>
      </c>
      <c r="C14" s="7" t="s">
        <v>23</v>
      </c>
      <c r="D14" s="7" t="n">
        <v>1</v>
      </c>
      <c r="E14" s="7" t="s">
        <v>75</v>
      </c>
      <c r="F14" s="7" t="s">
        <v>70</v>
      </c>
    </row>
    <row r="15" customFormat="false" ht="15" hidden="false" customHeight="true" outlineLevel="0" collapsed="false">
      <c r="A15" s="10" t="n">
        <v>12</v>
      </c>
      <c r="B15" s="10" t="s">
        <v>76</v>
      </c>
      <c r="C15" s="10" t="s">
        <v>23</v>
      </c>
      <c r="D15" s="10" t="n">
        <v>1</v>
      </c>
      <c r="E15" s="10" t="s">
        <v>77</v>
      </c>
      <c r="F15" s="10" t="s">
        <v>78</v>
      </c>
    </row>
    <row r="16" customFormat="false" ht="15" hidden="false" customHeight="true" outlineLevel="0" collapsed="false">
      <c r="A16" s="7" t="n">
        <v>13</v>
      </c>
      <c r="B16" s="7" t="s">
        <v>79</v>
      </c>
      <c r="C16" s="7" t="s">
        <v>23</v>
      </c>
      <c r="D16" s="7" t="n">
        <v>2</v>
      </c>
      <c r="E16" s="7" t="s">
        <v>80</v>
      </c>
      <c r="F16" s="7" t="s">
        <v>19</v>
      </c>
    </row>
    <row r="17" customFormat="false" ht="15" hidden="false" customHeight="true" outlineLevel="0" collapsed="false">
      <c r="A17" s="10" t="n">
        <v>14</v>
      </c>
      <c r="B17" s="10" t="s">
        <v>81</v>
      </c>
      <c r="C17" s="10" t="s">
        <v>23</v>
      </c>
      <c r="D17" s="10" t="n">
        <v>2</v>
      </c>
      <c r="E17" s="10" t="s">
        <v>82</v>
      </c>
      <c r="F17" s="10" t="s">
        <v>19</v>
      </c>
    </row>
    <row r="19" customFormat="false" ht="15" hidden="false" customHeight="true" outlineLevel="0" collapsed="false">
      <c r="B19" s="3" t="s">
        <v>14</v>
      </c>
      <c r="C19" s="13" t="n">
        <f aca="false">COUNTIF(F4:F17,"Done*")</f>
        <v>9</v>
      </c>
    </row>
    <row r="20" customFormat="false" ht="15" hidden="false" customHeight="true" outlineLevel="0" collapsed="false">
      <c r="B20" s="3" t="s">
        <v>70</v>
      </c>
      <c r="C20" s="13" t="n">
        <f aca="false">COUNTIF(F4:F17,"Made, not committed")</f>
        <v>3</v>
      </c>
    </row>
    <row r="21" customFormat="false" ht="15" hidden="false" customHeight="true" outlineLevel="0" collapsed="false">
      <c r="B21" s="3" t="s">
        <v>19</v>
      </c>
      <c r="C21" s="13" t="n">
        <f aca="false">COUNTIF(F4:F17,"In progress")</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0"/>
    <col collapsed="false" customWidth="true" hidden="false" outlineLevel="0" max="3" min="3" style="1" width="14"/>
    <col collapsed="false" customWidth="true" hidden="false" outlineLevel="0" max="4" min="4" style="1" width="52"/>
  </cols>
  <sheetData>
    <row r="1" customFormat="false" ht="17.25" hidden="false" customHeight="true" outlineLevel="0" collapsed="false">
      <c r="A1" s="2" t="s">
        <v>83</v>
      </c>
    </row>
    <row r="3" customFormat="false" ht="15" hidden="false" customHeight="true" outlineLevel="0" collapsed="false">
      <c r="A3" s="6" t="s">
        <v>84</v>
      </c>
      <c r="B3" s="6" t="s">
        <v>85</v>
      </c>
      <c r="C3" s="6" t="s">
        <v>9</v>
      </c>
      <c r="D3" s="6" t="s">
        <v>86</v>
      </c>
    </row>
    <row r="4" customFormat="false" ht="15" hidden="false" customHeight="true" outlineLevel="0" collapsed="false">
      <c r="A4" s="7" t="s">
        <v>55</v>
      </c>
      <c r="B4" s="7" t="n">
        <v>5</v>
      </c>
      <c r="C4" s="9" t="s">
        <v>14</v>
      </c>
      <c r="D4" s="7" t="s">
        <v>87</v>
      </c>
    </row>
    <row r="5" customFormat="false" ht="15" hidden="false" customHeight="true" outlineLevel="0" collapsed="false">
      <c r="A5" s="7" t="s">
        <v>58</v>
      </c>
      <c r="B5" s="7" t="n">
        <v>10</v>
      </c>
      <c r="C5" s="9" t="s">
        <v>88</v>
      </c>
      <c r="D5" s="7" t="s">
        <v>89</v>
      </c>
    </row>
    <row r="6" customFormat="false" ht="15" hidden="false" customHeight="true" outlineLevel="0" collapsed="false">
      <c r="A6" s="7" t="s">
        <v>90</v>
      </c>
      <c r="B6" s="7" t="n">
        <v>10</v>
      </c>
      <c r="C6" s="9" t="s">
        <v>91</v>
      </c>
      <c r="D6" s="7" t="s">
        <v>92</v>
      </c>
    </row>
    <row r="7" customFormat="false" ht="15" hidden="false" customHeight="true" outlineLevel="0" collapsed="false">
      <c r="A7" s="7" t="s">
        <v>93</v>
      </c>
      <c r="B7" s="7" t="n">
        <v>25</v>
      </c>
      <c r="C7" s="9" t="s">
        <v>91</v>
      </c>
      <c r="D7" s="7" t="s">
        <v>94</v>
      </c>
    </row>
    <row r="8" customFormat="false" ht="15" hidden="false" customHeight="true" outlineLevel="0" collapsed="false">
      <c r="A8" s="7" t="s">
        <v>36</v>
      </c>
      <c r="B8" s="7" t="n">
        <v>20</v>
      </c>
      <c r="C8" s="9" t="s">
        <v>91</v>
      </c>
      <c r="D8" s="7" t="s">
        <v>95</v>
      </c>
    </row>
    <row r="9" customFormat="false" ht="15" hidden="false" customHeight="true" outlineLevel="0" collapsed="false">
      <c r="A9" s="7" t="s">
        <v>31</v>
      </c>
      <c r="B9" s="7" t="n">
        <v>10</v>
      </c>
      <c r="C9" s="9" t="s">
        <v>91</v>
      </c>
      <c r="D9" s="7" t="s">
        <v>96</v>
      </c>
    </row>
    <row r="10" customFormat="false" ht="15" hidden="false" customHeight="true" outlineLevel="0" collapsed="false">
      <c r="A10" s="7" t="s">
        <v>97</v>
      </c>
      <c r="B10" s="7" t="n">
        <v>10</v>
      </c>
      <c r="C10" s="9" t="s">
        <v>88</v>
      </c>
      <c r="D10" s="7"/>
    </row>
    <row r="11" customFormat="false" ht="15" hidden="false" customHeight="true" outlineLevel="0" collapsed="false">
      <c r="A11" s="7" t="s">
        <v>98</v>
      </c>
      <c r="B11" s="7" t="n">
        <v>10</v>
      </c>
      <c r="C11" s="9" t="s">
        <v>88</v>
      </c>
      <c r="D11" s="7"/>
    </row>
    <row r="13" customFormat="false" ht="15" hidden="false" customHeight="true" outlineLevel="0" collapsed="false">
      <c r="A13" s="3" t="s">
        <v>99</v>
      </c>
      <c r="B13" s="13" t="n">
        <f aca="false">SUM(B4:B11)</f>
        <v>100</v>
      </c>
    </row>
    <row r="14" customFormat="false" ht="15" hidden="false" customHeight="true" outlineLevel="0" collapsed="false">
      <c r="A14" s="3" t="s">
        <v>100</v>
      </c>
      <c r="B14" s="13" t="n">
        <f aca="false">SUMIF(C4:C11,"&lt;&gt;Not started",B4:B11)</f>
        <v>70</v>
      </c>
    </row>
    <row r="15" customFormat="false" ht="15" hidden="false" customHeight="true" outlineLevel="0" collapsed="false">
      <c r="A15" s="3" t="s">
        <v>101</v>
      </c>
      <c r="B15" s="14" t="n">
        <f aca="false">B14/B13</f>
        <v>0.7</v>
      </c>
    </row>
  </sheetData>
  <dataValidations count="1">
    <dataValidation allowBlank="false" errorStyle="stop" operator="between" showDropDown="false" showErrorMessage="false" showInputMessage="false" sqref="C4:C11" type="list">
      <formula1>"Done,Started,Not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2026-10-09T04:59:51Z</dcterms:created>
  <dc:creator>openpyxl</dc:creator>
  <dc:description/>
  <dc:language>en-US</dc:language>
  <cp:lastModifiedBy/>
  <dcterms:modified xsi:type="dcterms:W3CDTF">2026-10-10T04:26:41Z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