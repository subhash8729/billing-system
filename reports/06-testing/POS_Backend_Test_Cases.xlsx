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Summary" sheetId="2" state="visible" r:id="rId4"/>
    <sheet name="Issues Found" sheetId="3" state="visible" r:id="rId5"/>
  </sheets>
  <definedNames>
    <definedName function="false" hidden="true" localSheetId="0" name="_xlnm._FilterDatabase" vbProcedure="false">'Test Cases'!$A$4:$N$100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<sst xmlns="http://schemas.openxmlformats.org/spreadsheetml/2006/main" count="1260" uniqueCount="506">
  <si>
    <t xml:space="preserve">POS System backend: API test cases</t>
  </si>
  <si>
    <t xml:space="preserve">Expected status codes are assumptions from the endpoint docs. Fill the blue columns (Actual status, Result) after each Postman run.</t>
  </si>
  <si>
    <t xml:space="preserve">Test ID</t>
  </si>
  <si>
    <t xml:space="preserve">Module</t>
  </si>
  <si>
    <t xml:space="preserve">Test case</t>
  </si>
  <si>
    <t xml:space="preserve">Type</t>
  </si>
  <si>
    <t xml:space="preserve">Method</t>
  </si>
  <si>
    <t xml:space="preserve">Endpoint</t>
  </si>
  <si>
    <t xml:space="preserve">Role / token</t>
  </si>
  <si>
    <t xml:space="preserve">Key request data</t>
  </si>
  <si>
    <t xml:space="preserve">Expected status (assumed)</t>
  </si>
  <si>
    <t xml:space="preserve">Expected result</t>
  </si>
  <si>
    <t xml:space="preserve">Actual status</t>
  </si>
  <si>
    <t xml:space="preserve">Result</t>
  </si>
  <si>
    <t xml:space="preserve">Source</t>
  </si>
  <si>
    <t xml:space="preserve">Notes</t>
  </si>
  <si>
    <t xml:space="preserve">AUT-01</t>
  </si>
  <si>
    <t xml:space="preserve">Auth</t>
  </si>
  <si>
    <t xml:space="preserve">Sign up a store admin</t>
  </si>
  <si>
    <t xml:space="preserve">Positive</t>
  </si>
  <si>
    <t xml:space="preserve">POST</t>
  </si>
  <si>
    <t xml:space="preserve">/auth/signup</t>
  </si>
  <si>
    <t xml:space="preserve">None (public)</t>
  </si>
  <si>
    <t xml:space="preserve">fullName, email, password, username, role=ROLE_STORE_ADMIN</t>
  </si>
  <si>
    <t xml:space="preserve">200 or 201</t>
  </si>
  <si>
    <t xml:space="preserve">User created and JWT returned</t>
  </si>
  <si>
    <t xml:space="preserve">Not run</t>
  </si>
  <si>
    <t xml:space="preserve">Postman</t>
  </si>
  <si>
    <t xml:space="preserve">AUT-02</t>
  </si>
  <si>
    <t xml:space="preserve">Sign in with valid credentials</t>
  </si>
  <si>
    <t xml:space="preserve">/auth/login</t>
  </si>
  <si>
    <t xml:space="preserve">email, password</t>
  </si>
  <si>
    <t xml:space="preserve">200</t>
  </si>
  <si>
    <t xml:space="preserve">JWT and user data returned</t>
  </si>
  <si>
    <t xml:space="preserve">AUT-03</t>
  </si>
  <si>
    <t xml:space="preserve">Get own profile</t>
  </si>
  <si>
    <t xml:space="preserve">GET</t>
  </si>
  <si>
    <t xml:space="preserve">/api/users/profile</t>
  </si>
  <si>
    <t xml:space="preserve">Store Admin ({{store_admin_jwt}})</t>
  </si>
  <si>
    <t xml:space="preserve">Bearer token</t>
  </si>
  <si>
    <t xml:space="preserve">Profile with role returned</t>
  </si>
  <si>
    <t xml:space="preserve">AUT-04</t>
  </si>
  <si>
    <t xml:space="preserve">Get all users</t>
  </si>
  <si>
    <t xml:space="preserve">/users/list</t>
  </si>
  <si>
    <t xml:space="preserve">Admin (admin token)</t>
  </si>
  <si>
    <t xml:space="preserve">List of users returned</t>
  </si>
  <si>
    <t xml:space="preserve">Postman uses {{jwt2}}. Path has no /api prefix, same as the frontend.</t>
  </si>
  <si>
    <t xml:space="preserve">AUT-05</t>
  </si>
  <si>
    <t xml:space="preserve">Sign up with an existing email</t>
  </si>
  <si>
    <t xml:space="preserve">Negative</t>
  </si>
  <si>
    <t xml:space="preserve">email already registered</t>
  </si>
  <si>
    <t xml:space="preserve">400 or 409</t>
  </si>
  <si>
    <t xml:space="preserve">Error message, no duplicate user</t>
  </si>
  <si>
    <t xml:space="preserve">Added (negative / security)</t>
  </si>
  <si>
    <t xml:space="preserve">AUT-06</t>
  </si>
  <si>
    <t xml:space="preserve">Sign up with invalid email and short password</t>
  </si>
  <si>
    <t xml:space="preserve">email=abc, password=1</t>
  </si>
  <si>
    <t xml:space="preserve">400</t>
  </si>
  <si>
    <t xml:space="preserve">Validation error</t>
  </si>
  <si>
    <t xml:space="preserve">AUT-07</t>
  </si>
  <si>
    <t xml:space="preserve">Sign up with role ROLE_ADMIN</t>
  </si>
  <si>
    <t xml:space="preserve">role=ROLE_ADMIN</t>
  </si>
  <si>
    <t xml:space="preserve">400 or 403</t>
  </si>
  <si>
    <t xml:space="preserve">Request rejected, no admin created</t>
  </si>
  <si>
    <t xml:space="preserve">Public signup currently accepts a role field. Make sure admin cannot be self-assigned.</t>
  </si>
  <si>
    <t xml:space="preserve">AUT-08</t>
  </si>
  <si>
    <t xml:space="preserve">Sign in with wrong password</t>
  </si>
  <si>
    <t xml:space="preserve">valid email, wrong password</t>
  </si>
  <si>
    <t xml:space="preserve">400 or 401</t>
  </si>
  <si>
    <t xml:space="preserve">Error message, no token</t>
  </si>
  <si>
    <t xml:space="preserve">AUT-09</t>
  </si>
  <si>
    <t xml:space="preserve">Call a protected endpoint without a token</t>
  </si>
  <si>
    <t xml:space="preserve">No Authorization header</t>
  </si>
  <si>
    <t xml:space="preserve">401 or 403</t>
  </si>
  <si>
    <t xml:space="preserve">Access denied</t>
  </si>
  <si>
    <t xml:space="preserve">AUT-10</t>
  </si>
  <si>
    <t xml:space="preserve">Request a password reset email</t>
  </si>
  <si>
    <t xml:space="preserve">/auth/forgot-password</t>
  </si>
  <si>
    <t xml:space="preserve">email</t>
  </si>
  <si>
    <t xml:space="preserve">Reset email sent</t>
  </si>
  <si>
    <t xml:space="preserve">Added (not in Postman yet)</t>
  </si>
  <si>
    <t xml:space="preserve">AUT-11</t>
  </si>
  <si>
    <t xml:space="preserve">Reset password with a valid token</t>
  </si>
  <si>
    <t xml:space="preserve">/auth/reset-password</t>
  </si>
  <si>
    <t xml:space="preserve">token, password</t>
  </si>
  <si>
    <t xml:space="preserve">Password changed</t>
  </si>
  <si>
    <t xml:space="preserve">AUT-12</t>
  </si>
  <si>
    <t xml:space="preserve">Reset password with an invalid token</t>
  </si>
  <si>
    <t xml:space="preserve">token=invalid, password</t>
  </si>
  <si>
    <t xml:space="preserve">Error message</t>
  </si>
  <si>
    <t xml:space="preserve">STO-01</t>
  </si>
  <si>
    <t xml:space="preserve">Store</t>
  </si>
  <si>
    <t xml:space="preserve">Create a store</t>
  </si>
  <si>
    <t xml:space="preserve">/api/stores</t>
  </si>
  <si>
    <t xml:space="preserve">brand, storeType, contact(address, email, phone), description</t>
  </si>
  <si>
    <t xml:space="preserve">Store created with status PENDING</t>
  </si>
  <si>
    <t xml:space="preserve">STO-02</t>
  </si>
  <si>
    <t xml:space="preserve">Get store of the logged-in employee</t>
  </si>
  <si>
    <t xml:space="preserve">/api/stores/employee</t>
  </si>
  <si>
    <t xml:space="preserve">Store Manager ({{store_manager_jwt}})</t>
  </si>
  <si>
    <t xml:space="preserve">Store returned</t>
  </si>
  <si>
    <t xml:space="preserve">STO-03</t>
  </si>
  <si>
    <t xml:space="preserve">Get store of the logged-in admin</t>
  </si>
  <si>
    <t xml:space="preserve">/api/stores/admin</t>
  </si>
  <si>
    <t xml:space="preserve">STO-04</t>
  </si>
  <si>
    <t xml:space="preserve">Update a store</t>
  </si>
  <si>
    <t xml:space="preserve">PUT</t>
  </si>
  <si>
    <t xml:space="preserve">/api/stores/1</t>
  </si>
  <si>
    <t xml:space="preserve">brand, description, storeType, contact</t>
  </si>
  <si>
    <t xml:space="preserve">Updated store returned</t>
  </si>
  <si>
    <t xml:space="preserve">STO-05</t>
  </si>
  <si>
    <t xml:space="preserve">Get a store that does not exist</t>
  </si>
  <si>
    <t xml:space="preserve">/api/stores/9999</t>
  </si>
  <si>
    <t xml:space="preserve">id=9999</t>
  </si>
  <si>
    <t xml:space="preserve">404</t>
  </si>
  <si>
    <t xml:space="preserve">Not found message</t>
  </si>
  <si>
    <t xml:space="preserve">STO-06</t>
  </si>
  <si>
    <t xml:space="preserve">Get all stores filtered by status</t>
  </si>
  <si>
    <t xml:space="preserve">/api/stores?status=PENDING</t>
  </si>
  <si>
    <t xml:space="preserve">status=PENDING</t>
  </si>
  <si>
    <t xml:space="preserve">List of pending stores</t>
  </si>
  <si>
    <t xml:space="preserve">STO-07</t>
  </si>
  <si>
    <t xml:space="preserve">Approve a store</t>
  </si>
  <si>
    <t xml:space="preserve">/api/stores/1/moderate?action=APPROVED</t>
  </si>
  <si>
    <t xml:space="preserve">action=APPROVED</t>
  </si>
  <si>
    <t xml:space="preserve">Store status updated</t>
  </si>
  <si>
    <t xml:space="preserve">BRA-01</t>
  </si>
  <si>
    <t xml:space="preserve">Branch</t>
  </si>
  <si>
    <t xml:space="preserve">Create a branch</t>
  </si>
  <si>
    <t xml:space="preserve">/api/branches</t>
  </si>
  <si>
    <t xml:space="preserve">name, address, workingDays</t>
  </si>
  <si>
    <t xml:space="preserve">Branch created</t>
  </si>
  <si>
    <t xml:space="preserve">BRA-02</t>
  </si>
  <si>
    <t xml:space="preserve">List employees of a branch</t>
  </si>
  <si>
    <t xml:space="preserve">/api/branches/1/employee/list</t>
  </si>
  <si>
    <t xml:space="preserve">Branch Manager ({{branch_manager_jwt}})</t>
  </si>
  <si>
    <t xml:space="preserve">Employees returned</t>
  </si>
  <si>
    <t xml:space="preserve">Employee docs use /api/employees/branch/{id}. Check which path exists.</t>
  </si>
  <si>
    <t xml:space="preserve">BRA-03</t>
  </si>
  <si>
    <t xml:space="preserve">Get all branches of a store</t>
  </si>
  <si>
    <t xml:space="preserve">/api/branches/store/1</t>
  </si>
  <si>
    <t xml:space="preserve">storeId=1</t>
  </si>
  <si>
    <t xml:space="preserve">Branch list returned</t>
  </si>
  <si>
    <t xml:space="preserve">Same request also appears in the Store folder.</t>
  </si>
  <si>
    <t xml:space="preserve">BRA-04</t>
  </si>
  <si>
    <t xml:space="preserve">Get a branch by id</t>
  </si>
  <si>
    <t xml:space="preserve">/api/branches/1</t>
  </si>
  <si>
    <t xml:space="preserve">id=1</t>
  </si>
  <si>
    <t xml:space="preserve">Branch returned</t>
  </si>
  <si>
    <t xml:space="preserve">BRA-05</t>
  </si>
  <si>
    <t xml:space="preserve">Update a branch</t>
  </si>
  <si>
    <t xml:space="preserve">name, address, workingDays, openTime, closeTime</t>
  </si>
  <si>
    <t xml:space="preserve">Updated branch returned</t>
  </si>
  <si>
    <t xml:space="preserve">BRA-06</t>
  </si>
  <si>
    <t xml:space="preserve">Delete a branch</t>
  </si>
  <si>
    <t xml:space="preserve">DELETE</t>
  </si>
  <si>
    <t xml:space="preserve">200 or 204</t>
  </si>
  <si>
    <t xml:space="preserve">Branch removed</t>
  </si>
  <si>
    <t xml:space="preserve">CAT-01</t>
  </si>
  <si>
    <t xml:space="preserve">Category</t>
  </si>
  <si>
    <t xml:space="preserve">Create a category</t>
  </si>
  <si>
    <t xml:space="preserve">/api/categories</t>
  </si>
  <si>
    <t xml:space="preserve">storeId=1, name=shoes</t>
  </si>
  <si>
    <t xml:space="preserve">Category created</t>
  </si>
  <si>
    <t xml:space="preserve">CAT-02</t>
  </si>
  <si>
    <t xml:space="preserve">Get categories of a store</t>
  </si>
  <si>
    <t xml:space="preserve">/api/categories/store/1</t>
  </si>
  <si>
    <t xml:space="preserve">Category list returned</t>
  </si>
  <si>
    <t xml:space="preserve">CAT-03</t>
  </si>
  <si>
    <t xml:space="preserve">Update a category</t>
  </si>
  <si>
    <t xml:space="preserve">/api/categories/1</t>
  </si>
  <si>
    <t xml:space="preserve">name=pants</t>
  </si>
  <si>
    <t xml:space="preserve">Updated category returned</t>
  </si>
  <si>
    <t xml:space="preserve">CAT-04</t>
  </si>
  <si>
    <t xml:space="preserve">Delete a category</t>
  </si>
  <si>
    <t xml:space="preserve">Category removed</t>
  </si>
  <si>
    <t xml:space="preserve">CAT-05</t>
  </si>
  <si>
    <t xml:space="preserve">Create a category as a cashier</t>
  </si>
  <si>
    <t xml:space="preserve">Cashier ({{cashier_jwt}})</t>
  </si>
  <si>
    <t xml:space="preserve">storeId=1, name</t>
  </si>
  <si>
    <t xml:space="preserve">403</t>
  </si>
  <si>
    <t xml:space="preserve">Only store manager and store admin should create categories.</t>
  </si>
  <si>
    <t xml:space="preserve">PRO-01</t>
  </si>
  <si>
    <t xml:space="preserve">Product</t>
  </si>
  <si>
    <t xml:space="preserve">Create a product</t>
  </si>
  <si>
    <t xml:space="preserve">/api/products</t>
  </si>
  <si>
    <t xml:space="preserve">name, sku, mrp, sellingPrice, brand, categoryId, storeId, image</t>
  </si>
  <si>
    <t xml:space="preserve">Product created</t>
  </si>
  <si>
    <t xml:space="preserve">PRO-02</t>
  </si>
  <si>
    <t xml:space="preserve">Get products of a store</t>
  </si>
  <si>
    <t xml:space="preserve">/api/products/store/1</t>
  </si>
  <si>
    <t xml:space="preserve">Product list returned</t>
  </si>
  <si>
    <t xml:space="preserve">PRO-03</t>
  </si>
  <si>
    <t xml:space="preserve">Update a product</t>
  </si>
  <si>
    <t xml:space="preserve">PATCH</t>
  </si>
  <si>
    <t xml:space="preserve">/api/products/1</t>
  </si>
  <si>
    <t xml:space="preserve">name, sku, mrp, sellingPrice, categoryId</t>
  </si>
  <si>
    <t xml:space="preserve">Updated product returned</t>
  </si>
  <si>
    <t xml:space="preserve">PRO-04</t>
  </si>
  <si>
    <t xml:space="preserve">Get a product by id</t>
  </si>
  <si>
    <t xml:space="preserve">Product returned</t>
  </si>
  <si>
    <t xml:space="preserve">PRO-05</t>
  </si>
  <si>
    <t xml:space="preserve">Search products in a store</t>
  </si>
  <si>
    <t xml:space="preserve">/api/products/store/1/search?q=shoes</t>
  </si>
  <si>
    <t xml:space="preserve">q=shoes</t>
  </si>
  <si>
    <t xml:space="preserve">Matching products returned</t>
  </si>
  <si>
    <t xml:space="preserve">PRO-06</t>
  </si>
  <si>
    <t xml:space="preserve">Delete a product</t>
  </si>
  <si>
    <t xml:space="preserve">Product removed</t>
  </si>
  <si>
    <t xml:space="preserve">PRO-07</t>
  </si>
  <si>
    <t xml:space="preserve">Create a product with a duplicate SKU</t>
  </si>
  <si>
    <t xml:space="preserve">existing sku</t>
  </si>
  <si>
    <t xml:space="preserve">PRO-08</t>
  </si>
  <si>
    <t xml:space="preserve">Create a product as a cashier</t>
  </si>
  <si>
    <t xml:space="preserve">valid product data</t>
  </si>
  <si>
    <t xml:space="preserve">ORD-01</t>
  </si>
  <si>
    <t xml:space="preserve">Order</t>
  </si>
  <si>
    <t xml:space="preserve">Create an order</t>
  </si>
  <si>
    <t xml:space="preserve">/api/orders</t>
  </si>
  <si>
    <t xml:space="preserve">customer, items(productId, quantity), paymentType=UPI</t>
  </si>
  <si>
    <t xml:space="preserve">Order created with total and items</t>
  </si>
  <si>
    <t xml:space="preserve">Frontend adds 18% tax in the cart. Check the saved totalAmount.</t>
  </si>
  <si>
    <t xml:space="preserve">ORD-02</t>
  </si>
  <si>
    <t xml:space="preserve">Get orders of a branch</t>
  </si>
  <si>
    <t xml:space="preserve">/api/orders/branch/1</t>
  </si>
  <si>
    <t xml:space="preserve">branchId=1</t>
  </si>
  <si>
    <t xml:space="preserve">Order list returned</t>
  </si>
  <si>
    <t xml:space="preserve">ORD-03</t>
  </si>
  <si>
    <t xml:space="preserve">Get orders of a cashier</t>
  </si>
  <si>
    <t xml:space="preserve">/api/orders/cashier/102</t>
  </si>
  <si>
    <t xml:space="preserve">cashierId=102</t>
  </si>
  <si>
    <t xml:space="preserve">ORD-04</t>
  </si>
  <si>
    <t xml:space="preserve">Get orders of a branch with filters</t>
  </si>
  <si>
    <t xml:space="preserve">/api/orders/branch/1?paymentType=UPI</t>
  </si>
  <si>
    <t xml:space="preserve">paymentType=UPI</t>
  </si>
  <si>
    <t xml:space="preserve">Filtered orders returned</t>
  </si>
  <si>
    <t xml:space="preserve">Postman sends a request body on this GET. Remove it.</t>
  </si>
  <si>
    <t xml:space="preserve">ORD-05</t>
  </si>
  <si>
    <t xml:space="preserve">Get today's orders of a branch</t>
  </si>
  <si>
    <t xml:space="preserve">/api/orders/today/branch/1</t>
  </si>
  <si>
    <t xml:space="preserve">Today's orders returned</t>
  </si>
  <si>
    <t xml:space="preserve">ORD-06</t>
  </si>
  <si>
    <t xml:space="preserve">Get the 5 most recent orders of a branch</t>
  </si>
  <si>
    <t xml:space="preserve">/api/orders/recent/1</t>
  </si>
  <si>
    <t xml:space="preserve">5 recent orders returned</t>
  </si>
  <si>
    <t xml:space="preserve">Postman uses {{cashier_jwt}}, but docs allow only branch manager and branch admin.</t>
  </si>
  <si>
    <t xml:space="preserve">ORD-07</t>
  </si>
  <si>
    <t xml:space="preserve">Get recent orders as a cashier</t>
  </si>
  <si>
    <t xml:space="preserve">ORD-08</t>
  </si>
  <si>
    <t xml:space="preserve">Create an order with more quantity than stock</t>
  </si>
  <si>
    <t xml:space="preserve">quantity above inventory</t>
  </si>
  <si>
    <t xml:space="preserve">Out of stock error, stock unchanged</t>
  </si>
  <si>
    <t xml:space="preserve">ORD-09</t>
  </si>
  <si>
    <t xml:space="preserve">Get orders of a customer</t>
  </si>
  <si>
    <t xml:space="preserve">/api/orders/customer/1</t>
  </si>
  <si>
    <t xml:space="preserve">customerId=1</t>
  </si>
  <si>
    <t xml:space="preserve">ORD-10</t>
  </si>
  <si>
    <t xml:space="preserve">Delete an order</t>
  </si>
  <si>
    <t xml:space="preserve">/api/orders/1</t>
  </si>
  <si>
    <t xml:space="preserve">Order removed</t>
  </si>
  <si>
    <t xml:space="preserve">EMP-01</t>
  </si>
  <si>
    <t xml:space="preserve">Employee</t>
  </si>
  <si>
    <t xml:space="preserve">List employees of a store</t>
  </si>
  <si>
    <t xml:space="preserve">/api/employees/store/1</t>
  </si>
  <si>
    <t xml:space="preserve">Employee list returned</t>
  </si>
  <si>
    <t xml:space="preserve">EMP-02</t>
  </si>
  <si>
    <t xml:space="preserve">/api/employees/branch/1</t>
  </si>
  <si>
    <t xml:space="preserve">EMP-03</t>
  </si>
  <si>
    <t xml:space="preserve">Add a branch manager to a store</t>
  </si>
  <si>
    <t xml:space="preserve">email, password, fullName, role=ROLE_BRANCH_MANAGER, branchId</t>
  </si>
  <si>
    <t xml:space="preserve">Employee created</t>
  </si>
  <si>
    <t xml:space="preserve">EMP-04</t>
  </si>
  <si>
    <t xml:space="preserve">Add a cashier to a branch</t>
  </si>
  <si>
    <t xml:space="preserve">email, password, fullName, role=ROLE_BRANCH_CASHIER</t>
  </si>
  <si>
    <t xml:space="preserve">Cashier created</t>
  </si>
  <si>
    <t xml:space="preserve">EMP-05</t>
  </si>
  <si>
    <t xml:space="preserve">Update an employee</t>
  </si>
  <si>
    <t xml:space="preserve">/api/employees/1</t>
  </si>
  <si>
    <t xml:space="preserve">fullName, phone</t>
  </si>
  <si>
    <t xml:space="preserve">Updated employee returned</t>
  </si>
  <si>
    <t xml:space="preserve">EMP-06</t>
  </si>
  <si>
    <t xml:space="preserve">Delete an employee</t>
  </si>
  <si>
    <t xml:space="preserve">Employee removed</t>
  </si>
  <si>
    <t xml:space="preserve">INV-01</t>
  </si>
  <si>
    <t xml:space="preserve">Inventory</t>
  </si>
  <si>
    <t xml:space="preserve">Create an inventory record</t>
  </si>
  <si>
    <t xml:space="preserve">/api/inventories</t>
  </si>
  <si>
    <t xml:space="preserve">productId=1, branchId=1, quantity=100</t>
  </si>
  <si>
    <t xml:space="preserve">Inventory created</t>
  </si>
  <si>
    <t xml:space="preserve">INV-02</t>
  </si>
  <si>
    <t xml:space="preserve">Get stock by branch and product</t>
  </si>
  <si>
    <t xml:space="preserve">/api/inventories/branch/1/product/1</t>
  </si>
  <si>
    <t xml:space="preserve">branchId, productId</t>
  </si>
  <si>
    <t xml:space="preserve">Stock record returned</t>
  </si>
  <si>
    <t xml:space="preserve">INV-03</t>
  </si>
  <si>
    <t xml:space="preserve">Get all stock of a branch</t>
  </si>
  <si>
    <t xml:space="preserve">/api/inventories/branch/1</t>
  </si>
  <si>
    <t xml:space="preserve">Inventory list returned</t>
  </si>
  <si>
    <t xml:space="preserve">INV-04</t>
  </si>
  <si>
    <t xml:space="preserve">Update stock quantity</t>
  </si>
  <si>
    <t xml:space="preserve">/api/inventories/1</t>
  </si>
  <si>
    <t xml:space="preserve">quantity=150</t>
  </si>
  <si>
    <t xml:space="preserve">Updated quantity returned</t>
  </si>
  <si>
    <t xml:space="preserve">INV-05</t>
  </si>
  <si>
    <t xml:space="preserve">Delete an inventory record</t>
  </si>
  <si>
    <t xml:space="preserve">Record removed</t>
  </si>
  <si>
    <t xml:space="preserve">CUS-01</t>
  </si>
  <si>
    <t xml:space="preserve">Customer</t>
  </si>
  <si>
    <t xml:space="preserve">Create a customer</t>
  </si>
  <si>
    <t xml:space="preserve">/api/customers</t>
  </si>
  <si>
    <t xml:space="preserve">fullName, phone, email</t>
  </si>
  <si>
    <t xml:space="preserve">Customer created</t>
  </si>
  <si>
    <t xml:space="preserve">CUS-02</t>
  </si>
  <si>
    <t xml:space="preserve">Get all customers</t>
  </si>
  <si>
    <t xml:space="preserve">Customer list returned</t>
  </si>
  <si>
    <t xml:space="preserve">CUS-03</t>
  </si>
  <si>
    <t xml:space="preserve">Search customers</t>
  </si>
  <si>
    <t xml:space="preserve">/api/customers/search?q=mumbai</t>
  </si>
  <si>
    <t xml:space="preserve">q=mumbai</t>
  </si>
  <si>
    <t xml:space="preserve">Matching customers returned</t>
  </si>
  <si>
    <t xml:space="preserve">CUS-04</t>
  </si>
  <si>
    <t xml:space="preserve">Delete a customer</t>
  </si>
  <si>
    <t xml:space="preserve">/api/customers/1</t>
  </si>
  <si>
    <t xml:space="preserve">Customer removed</t>
  </si>
  <si>
    <t xml:space="preserve">CUS-05</t>
  </si>
  <si>
    <t xml:space="preserve">Get a customer by id</t>
  </si>
  <si>
    <t xml:space="preserve">Customer returned</t>
  </si>
  <si>
    <t xml:space="preserve">CUS-06</t>
  </si>
  <si>
    <t xml:space="preserve">Update a customer</t>
  </si>
  <si>
    <t xml:space="preserve">Updated customer returned</t>
  </si>
  <si>
    <t xml:space="preserve">REF-01</t>
  </si>
  <si>
    <t xml:space="preserve">Refund</t>
  </si>
  <si>
    <t xml:space="preserve">Create a refund</t>
  </si>
  <si>
    <t xml:space="preserve">/api/refunds</t>
  </si>
  <si>
    <t xml:space="preserve">orderId, reason, amount</t>
  </si>
  <si>
    <t xml:space="preserve">Refund created and linked to the shift</t>
  </si>
  <si>
    <t xml:space="preserve">REF-02</t>
  </si>
  <si>
    <t xml:space="preserve">Get refunds of a cashier</t>
  </si>
  <si>
    <t xml:space="preserve">/api/refunds/cashier/102</t>
  </si>
  <si>
    <t xml:space="preserve">Refund list returned</t>
  </si>
  <si>
    <t xml:space="preserve">REF-03</t>
  </si>
  <si>
    <t xml:space="preserve">Get refunds of a branch</t>
  </si>
  <si>
    <t xml:space="preserve">/api/refunds/branch/1</t>
  </si>
  <si>
    <t xml:space="preserve">REF-04</t>
  </si>
  <si>
    <t xml:space="preserve">Get a refund by id</t>
  </si>
  <si>
    <t xml:space="preserve">/api/refunds/1</t>
  </si>
  <si>
    <t xml:space="preserve">Refund returned</t>
  </si>
  <si>
    <t xml:space="preserve">REF-05</t>
  </si>
  <si>
    <t xml:space="preserve">Get all refunds</t>
  </si>
  <si>
    <t xml:space="preserve">REF-06</t>
  </si>
  <si>
    <t xml:space="preserve">Get refunds of a cashier in a date range</t>
  </si>
  <si>
    <t xml:space="preserve">/api/refunds/cashier/102/range</t>
  </si>
  <si>
    <t xml:space="preserve">startDate, endDate</t>
  </si>
  <si>
    <t xml:space="preserve">Refunds in range returned</t>
  </si>
  <si>
    <t xml:space="preserve">Postman uses startDate/endDate, frontend uses from/to. Confirm the real parameter names.</t>
  </si>
  <si>
    <t xml:space="preserve">REF-07</t>
  </si>
  <si>
    <t xml:space="preserve">Refund more than the order total</t>
  </si>
  <si>
    <t xml:space="preserve">amount above order total</t>
  </si>
  <si>
    <t xml:space="preserve">Error message, no refund saved</t>
  </si>
  <si>
    <t xml:space="preserve">SHF-01</t>
  </si>
  <si>
    <t xml:space="preserve">Shift Report</t>
  </si>
  <si>
    <t xml:space="preserve">Start a shift</t>
  </si>
  <si>
    <t xml:space="preserve">/api/shift-reports/start?branchId=1</t>
  </si>
  <si>
    <t xml:space="preserve">Shift started</t>
  </si>
  <si>
    <t xml:space="preserve">Postman sends a branch JSON body, frontend sends ?branchId=. Confirm which one the backend expects.</t>
  </si>
  <si>
    <t xml:space="preserve">SHF-02</t>
  </si>
  <si>
    <t xml:space="preserve">Get current shift progress</t>
  </si>
  <si>
    <t xml:space="preserve">/api/shift-reports/current</t>
  </si>
  <si>
    <t xml:space="preserve">Live shift totals returned</t>
  </si>
  <si>
    <t xml:space="preserve">SHF-03</t>
  </si>
  <si>
    <t xml:space="preserve">End the current shift</t>
  </si>
  <si>
    <t xml:space="preserve">/api/shift-reports/end</t>
  </si>
  <si>
    <t xml:space="preserve">Final shift report returned</t>
  </si>
  <si>
    <t xml:space="preserve">SHF-04</t>
  </si>
  <si>
    <t xml:space="preserve">Get shifts of a cashier</t>
  </si>
  <si>
    <t xml:space="preserve">/api/shift-reports/cashier/102</t>
  </si>
  <si>
    <t xml:space="preserve">Shift list returned</t>
  </si>
  <si>
    <t xml:space="preserve">SHF-05</t>
  </si>
  <si>
    <t xml:space="preserve">Get shifts of a branch</t>
  </si>
  <si>
    <t xml:space="preserve">/api/shift-reports/branch/1</t>
  </si>
  <si>
    <t xml:space="preserve">SHF-06</t>
  </si>
  <si>
    <t xml:space="preserve">Get a shift report by date</t>
  </si>
  <si>
    <t xml:space="preserve">/api/shift-reports/cashier/102/by-date</t>
  </si>
  <si>
    <t xml:space="preserve">date=2025-08-02T08:27:01</t>
  </si>
  <si>
    <t xml:space="preserve">Shift report returned</t>
  </si>
  <si>
    <t xml:space="preserve">SHF-07</t>
  </si>
  <si>
    <t xml:space="preserve">Start a shift while one is already active</t>
  </si>
  <si>
    <t xml:space="preserve">active shift exists</t>
  </si>
  <si>
    <t xml:space="preserve">ADM-01</t>
  </si>
  <si>
    <t xml:space="preserve">Admin Dashboard</t>
  </si>
  <si>
    <t xml:space="preserve">Get dashboard summary</t>
  </si>
  <si>
    <t xml:space="preserve">/api/super-admin/dashboard/summary</t>
  </si>
  <si>
    <t xml:space="preserve">Total, active, pending and blocked stores</t>
  </si>
  <si>
    <t xml:space="preserve">Postman uses {{cashier_jwt}}. Use an admin token.</t>
  </si>
  <si>
    <t xml:space="preserve">ADM-02</t>
  </si>
  <si>
    <t xml:space="preserve">Get store registrations of the last 7 days</t>
  </si>
  <si>
    <t xml:space="preserve">/api/super-admin/dashboard/store-registrations</t>
  </si>
  <si>
    <t xml:space="preserve">7 daily counts returned</t>
  </si>
  <si>
    <t xml:space="preserve">ADM-03</t>
  </si>
  <si>
    <t xml:space="preserve">Get store status distribution</t>
  </si>
  <si>
    <t xml:space="preserve">/api/super-admin/dashboard/store-status-distribution</t>
  </si>
  <si>
    <t xml:space="preserve">Counts per status returned</t>
  </si>
  <si>
    <t xml:space="preserve">ADM-04</t>
  </si>
  <si>
    <t xml:space="preserve">Open the dashboard as a cashier</t>
  </si>
  <si>
    <t xml:space="preserve">ANA-01</t>
  </si>
  <si>
    <t xml:space="preserve">Branch Analytics</t>
  </si>
  <si>
    <t xml:space="preserve">Get daily sales chart data</t>
  </si>
  <si>
    <t xml:space="preserve">/api/branch-analytics/daily-sales?branchId=1</t>
  </si>
  <si>
    <t xml:space="preserve">branchId=1, days (default 7)</t>
  </si>
  <si>
    <t xml:space="preserve">Daily sales for the last N days</t>
  </si>
  <si>
    <t xml:space="preserve">Remove the extra branchId header in Postman.</t>
  </si>
  <si>
    <t xml:space="preserve">ANA-02</t>
  </si>
  <si>
    <t xml:space="preserve">Get top products</t>
  </si>
  <si>
    <t xml:space="preserve">/api/branch-analytics/top-products?branchId=1</t>
  </si>
  <si>
    <t xml:space="preserve">Top 5 products with percentage</t>
  </si>
  <si>
    <t xml:space="preserve">ANA-03</t>
  </si>
  <si>
    <t xml:space="preserve">Get top cashiers</t>
  </si>
  <si>
    <t xml:space="preserve">/api/branch-analytics/top-cashiers?branchId=1</t>
  </si>
  <si>
    <t xml:space="preserve">Top 5 cashiers by revenue</t>
  </si>
  <si>
    <t xml:space="preserve">ANA-04</t>
  </si>
  <si>
    <t xml:space="preserve">Get category sales for a date</t>
  </si>
  <si>
    <t xml:space="preserve">/api/branch-analytics/category-sales?branchId=1&amp;date=2025-07-30</t>
  </si>
  <si>
    <t xml:space="preserve">branchId, date</t>
  </si>
  <si>
    <t xml:space="preserve">Category-wise sales</t>
  </si>
  <si>
    <t xml:space="preserve">ANA-05</t>
  </si>
  <si>
    <t xml:space="preserve">Get today's overview</t>
  </si>
  <si>
    <t xml:space="preserve">/api/branch-analytics/today-overview?branchId=1</t>
  </si>
  <si>
    <t xml:space="preserve">Sales, orders and customers for today</t>
  </si>
  <si>
    <t xml:space="preserve">ANA-06</t>
  </si>
  <si>
    <t xml:space="preserve">Get payment breakdown for a date</t>
  </si>
  <si>
    <t xml:space="preserve">/api/branch-analytics/payment-breakdown?branchId=1&amp;date=2025-08-01</t>
  </si>
  <si>
    <t xml:space="preserve">Cash, card and UPI split</t>
  </si>
  <si>
    <t xml:space="preserve">SAN-01</t>
  </si>
  <si>
    <t xml:space="preserve">Store Analytics</t>
  </si>
  <si>
    <t xml:space="preserve">Get store overview</t>
  </si>
  <si>
    <t xml:space="preserve">/api/store/analytics/1/overview</t>
  </si>
  <si>
    <t xml:space="preserve">storeAdminId=1</t>
  </si>
  <si>
    <t xml:space="preserve">KPI summary returned</t>
  </si>
  <si>
    <t xml:space="preserve">SAN-02</t>
  </si>
  <si>
    <t xml:space="preserve">Get store alerts</t>
  </si>
  <si>
    <t xml:space="preserve">/api/store/analytics/1/alerts</t>
  </si>
  <si>
    <t xml:space="preserve">Low stock and other alerts</t>
  </si>
  <si>
    <t xml:space="preserve">SUB-01</t>
  </si>
  <si>
    <t xml:space="preserve">Subscription</t>
  </si>
  <si>
    <t xml:space="preserve">Create a subscription plan</t>
  </si>
  <si>
    <t xml:space="preserve">/api/super-admin/subscription-plans</t>
  </si>
  <si>
    <t xml:space="preserve">name, price, billingCycle, limits</t>
  </si>
  <si>
    <t xml:space="preserve">Plan created</t>
  </si>
  <si>
    <t xml:space="preserve">SUB-02</t>
  </si>
  <si>
    <t xml:space="preserve">Get all subscription plans</t>
  </si>
  <si>
    <t xml:space="preserve">Plan list returned</t>
  </si>
  <si>
    <t xml:space="preserve">SUB-03</t>
  </si>
  <si>
    <t xml:space="preserve">Subscribe a store to a plan</t>
  </si>
  <si>
    <t xml:space="preserve">/api/subscriptions/subscribe?storeId=1&amp;planId=1&amp;gateway=RAZORPAY</t>
  </si>
  <si>
    <t xml:space="preserve">storeId, planId, gateway</t>
  </si>
  <si>
    <t xml:space="preserve">Subscription created, checkout URL returned</t>
  </si>
  <si>
    <t xml:space="preserve">SUB-04</t>
  </si>
  <si>
    <t xml:space="preserve">Get subscriptions of a store</t>
  </si>
  <si>
    <t xml:space="preserve">/api/subscriptions/store/1</t>
  </si>
  <si>
    <t xml:space="preserve">Subscription list returned</t>
  </si>
  <si>
    <t xml:space="preserve">SUB-05</t>
  </si>
  <si>
    <t xml:space="preserve">Subscribe as a cashier</t>
  </si>
  <si>
    <t xml:space="preserve">/api/subscriptions/subscribe?storeId=1&amp;planId=1</t>
  </si>
  <si>
    <t xml:space="preserve">valid ids</t>
  </si>
  <si>
    <t xml:space="preserve">Test summary</t>
  </si>
  <si>
    <t xml:space="preserve">Total</t>
  </si>
  <si>
    <t xml:space="preserve">Pass</t>
  </si>
  <si>
    <t xml:space="preserve">Fail</t>
  </si>
  <si>
    <t xml:space="preserve">Pass rate (of run tests)</t>
  </si>
  <si>
    <t xml:space="preserve">By source</t>
  </si>
  <si>
    <t xml:space="preserve">How to use: run each request in Postman, type the status code you got in 'Actual status' and pick Pass or Fail in 'Result' on the Test Cases sheet. This sheet updates by itself.</t>
  </si>
  <si>
    <t xml:space="preserve">Tests marked 'Added' are not in your Postman collection yet. Add them there too so the collection and this file match.</t>
  </si>
  <si>
    <t xml:space="preserve">Expected status codes are assumed from the endpoint documents, so change them if your controllers return different codes.</t>
  </si>
  <si>
    <t xml:space="preserve">Issues found while reading the Postman collection</t>
  </si>
  <si>
    <t xml:space="preserve">#</t>
  </si>
  <si>
    <t xml:space="preserve">Area</t>
  </si>
  <si>
    <t xml:space="preserve">Issue</t>
  </si>
  <si>
    <t xml:space="preserve">Suggested fix</t>
  </si>
  <si>
    <t xml:space="preserve">Severity</t>
  </si>
  <si>
    <t xml:space="preserve">Security</t>
  </si>
  <si>
    <t xml:space="preserve">Public signup accepts a role field. Someone could register as an admin.</t>
  </si>
  <si>
    <t xml:space="preserve">Ignore or reject the role on /auth/signup, or allow only store roles.</t>
  </si>
  <si>
    <t xml:space="preserve">High</t>
  </si>
  <si>
    <t xml:space="preserve">Admin dashboard requests use a cashier token.</t>
  </si>
  <si>
    <t xml:space="preserve">Test with an admin token and add a 403 case for cashiers.</t>
  </si>
  <si>
    <t xml:space="preserve">Authorization</t>
  </si>
  <si>
    <t xml:space="preserve">Recent orders uses a cashier token, but docs allow only branch manager and branch admin.</t>
  </si>
  <si>
    <t xml:space="preserve">Test with a branch manager token, and a cashier should get 403.</t>
  </si>
  <si>
    <t xml:space="preserve">Medium</t>
  </si>
  <si>
    <t xml:space="preserve">Collection</t>
  </si>
  <si>
    <t xml:space="preserve">Leftover requests from another project: login OTP on port 5454, keycloak profile, access token from refresh token, plus empty 'New Request' items.</t>
  </si>
  <si>
    <t xml:space="preserve">Delete them from the collection.</t>
  </si>
  <si>
    <t xml:space="preserve">Frontend / API</t>
  </si>
  <si>
    <t xml:space="preserve">Shift start: Postman sends a branch JSON body, frontend sends ?branchId=.</t>
  </si>
  <si>
    <t xml:space="preserve">Check the controller and make both match.</t>
  </si>
  <si>
    <t xml:space="preserve">Refund date range: Postman uses startDate/endDate, frontend uses from/to.</t>
  </si>
  <si>
    <t xml:space="preserve">Orders</t>
  </si>
  <si>
    <t xml:space="preserve">Frontend cart adds 18% tax, the order request has no tax field.</t>
  </si>
  <si>
    <t xml:space="preserve">Confirm the saved totalAmount matches what the bill shows.</t>
  </si>
  <si>
    <t xml:space="preserve">Several GET requests carry a request body, and daily-sales sends an extra branchId header.</t>
  </si>
  <si>
    <t xml:space="preserve">Remove them.</t>
  </si>
  <si>
    <t xml:space="preserve">Low</t>
  </si>
  <si>
    <t xml:space="preserve">IDs like 52, 102 and 203 are hardcoded, and the folder is named 'AminDashboard'.</t>
  </si>
  <si>
    <t xml:space="preserve">Use collection variables and fix the typo.</t>
  </si>
  <si>
    <t xml:space="preserve">No request has tests or saved example responses.</t>
  </si>
  <si>
    <t xml:space="preserve">Add pm.test checks for status code and key fields, and save example responses.</t>
  </si>
</sst>
</file>

<file path=xl/styles.xml><?xml version="1.0" encoding="utf-8"?>
<styleSheet xmlns="http://schemas.openxmlformats.org/spreadsheetml/2006/main">
  <numFmts count="3">
    <numFmt numFmtId="164" formatCode="General"/>
    <numFmt numFmtId="165" formatCode="General"/>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EAF0FA"/>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EAF0FA"/>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AF0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38"/>
    <col collapsed="false" customWidth="true" hidden="false" outlineLevel="0" max="4" min="4" style="0" width="10"/>
    <col collapsed="false" customWidth="true" hidden="false" outlineLevel="0" max="5" min="5" style="0" width="8"/>
    <col collapsed="false" customWidth="true" hidden="false" outlineLevel="0" max="6" min="6" style="0" width="46"/>
    <col collapsed="false" customWidth="true" hidden="false" outlineLevel="0" max="7" min="7" style="0" width="32"/>
    <col collapsed="false" customWidth="true" hidden="false" outlineLevel="0" max="8" min="8" style="0" width="40"/>
    <col collapsed="false" customWidth="true" hidden="false" outlineLevel="0" max="9" min="9" style="0" width="14"/>
    <col collapsed="false" customWidth="true" hidden="false" outlineLevel="0" max="10" min="10" style="0" width="34"/>
    <col collapsed="false" customWidth="true" hidden="false" outlineLevel="0" max="12" min="11" style="0" width="10"/>
    <col collapsed="false" customWidth="true" hidden="false" outlineLevel="0" max="13" min="13" style="0" width="24"/>
    <col collapsed="false" customWidth="true" hidden="false" outlineLevel="0" max="14" min="14" style="0" width="52"/>
  </cols>
  <sheetData>
    <row r="1" customFormat="false" ht="17.35" hidden="false" customHeight="false" outlineLevel="0" collapsed="false">
      <c r="A1" s="1" t="s">
        <v>0</v>
      </c>
    </row>
    <row r="2" customFormat="false" ht="15" hidden="false" customHeight="false" outlineLevel="0" collapsed="false">
      <c r="A2" s="2" t="s">
        <v>1</v>
      </c>
    </row>
    <row r="4" customFormat="false" ht="35.0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row>
    <row r="5" customFormat="false" ht="23.85" hidden="false" customHeight="false" outlineLevel="0" collapsed="false">
      <c r="A5" s="4" t="s">
        <v>16</v>
      </c>
      <c r="B5" s="4" t="s">
        <v>17</v>
      </c>
      <c r="C5" s="4" t="s">
        <v>18</v>
      </c>
      <c r="D5" s="4" t="s">
        <v>19</v>
      </c>
      <c r="E5" s="4" t="s">
        <v>20</v>
      </c>
      <c r="F5" s="4" t="s">
        <v>21</v>
      </c>
      <c r="G5" s="4" t="s">
        <v>22</v>
      </c>
      <c r="H5" s="4" t="s">
        <v>23</v>
      </c>
      <c r="I5" s="4" t="s">
        <v>24</v>
      </c>
      <c r="J5" s="4" t="s">
        <v>25</v>
      </c>
      <c r="K5" s="5"/>
      <c r="L5" s="5" t="s">
        <v>26</v>
      </c>
      <c r="M5" s="4" t="s">
        <v>27</v>
      </c>
      <c r="N5" s="4"/>
    </row>
    <row r="6" customFormat="false" ht="15" hidden="false" customHeight="false" outlineLevel="0" collapsed="false">
      <c r="A6" s="6" t="s">
        <v>28</v>
      </c>
      <c r="B6" s="6" t="s">
        <v>17</v>
      </c>
      <c r="C6" s="6" t="s">
        <v>29</v>
      </c>
      <c r="D6" s="6" t="s">
        <v>19</v>
      </c>
      <c r="E6" s="6" t="s">
        <v>20</v>
      </c>
      <c r="F6" s="6" t="s">
        <v>30</v>
      </c>
      <c r="G6" s="6" t="s">
        <v>22</v>
      </c>
      <c r="H6" s="6" t="s">
        <v>31</v>
      </c>
      <c r="I6" s="6" t="s">
        <v>32</v>
      </c>
      <c r="J6" s="6" t="s">
        <v>33</v>
      </c>
      <c r="K6" s="7"/>
      <c r="L6" s="7" t="s">
        <v>26</v>
      </c>
      <c r="M6" s="6" t="s">
        <v>27</v>
      </c>
      <c r="N6" s="6"/>
    </row>
    <row r="7" customFormat="false" ht="15" hidden="false" customHeight="false" outlineLevel="0" collapsed="false">
      <c r="A7" s="4" t="s">
        <v>34</v>
      </c>
      <c r="B7" s="4" t="s">
        <v>17</v>
      </c>
      <c r="C7" s="4" t="s">
        <v>35</v>
      </c>
      <c r="D7" s="4" t="s">
        <v>19</v>
      </c>
      <c r="E7" s="4" t="s">
        <v>36</v>
      </c>
      <c r="F7" s="4" t="s">
        <v>37</v>
      </c>
      <c r="G7" s="4" t="s">
        <v>38</v>
      </c>
      <c r="H7" s="4" t="s">
        <v>39</v>
      </c>
      <c r="I7" s="4" t="s">
        <v>32</v>
      </c>
      <c r="J7" s="4" t="s">
        <v>40</v>
      </c>
      <c r="K7" s="5"/>
      <c r="L7" s="5" t="s">
        <v>26</v>
      </c>
      <c r="M7" s="4" t="s">
        <v>27</v>
      </c>
      <c r="N7" s="4"/>
    </row>
    <row r="8" customFormat="false" ht="23.85" hidden="false" customHeight="false" outlineLevel="0" collapsed="false">
      <c r="A8" s="6" t="s">
        <v>41</v>
      </c>
      <c r="B8" s="6" t="s">
        <v>17</v>
      </c>
      <c r="C8" s="6" t="s">
        <v>42</v>
      </c>
      <c r="D8" s="6" t="s">
        <v>19</v>
      </c>
      <c r="E8" s="6" t="s">
        <v>36</v>
      </c>
      <c r="F8" s="6" t="s">
        <v>43</v>
      </c>
      <c r="G8" s="6" t="s">
        <v>44</v>
      </c>
      <c r="H8" s="6" t="s">
        <v>39</v>
      </c>
      <c r="I8" s="6" t="s">
        <v>32</v>
      </c>
      <c r="J8" s="6" t="s">
        <v>45</v>
      </c>
      <c r="K8" s="7"/>
      <c r="L8" s="7" t="s">
        <v>26</v>
      </c>
      <c r="M8" s="6" t="s">
        <v>27</v>
      </c>
      <c r="N8" s="6" t="s">
        <v>46</v>
      </c>
    </row>
    <row r="9" customFormat="false" ht="15" hidden="false" customHeight="false" outlineLevel="0" collapsed="false">
      <c r="A9" s="4" t="s">
        <v>47</v>
      </c>
      <c r="B9" s="4" t="s">
        <v>17</v>
      </c>
      <c r="C9" s="4" t="s">
        <v>48</v>
      </c>
      <c r="D9" s="4" t="s">
        <v>49</v>
      </c>
      <c r="E9" s="4" t="s">
        <v>20</v>
      </c>
      <c r="F9" s="4" t="s">
        <v>21</v>
      </c>
      <c r="G9" s="4" t="s">
        <v>22</v>
      </c>
      <c r="H9" s="4" t="s">
        <v>50</v>
      </c>
      <c r="I9" s="4" t="s">
        <v>51</v>
      </c>
      <c r="J9" s="4" t="s">
        <v>52</v>
      </c>
      <c r="K9" s="5"/>
      <c r="L9" s="5" t="s">
        <v>26</v>
      </c>
      <c r="M9" s="4" t="s">
        <v>53</v>
      </c>
      <c r="N9" s="4"/>
    </row>
    <row r="10" customFormat="false" ht="15" hidden="false" customHeight="false" outlineLevel="0" collapsed="false">
      <c r="A10" s="6" t="s">
        <v>54</v>
      </c>
      <c r="B10" s="6" t="s">
        <v>17</v>
      </c>
      <c r="C10" s="6" t="s">
        <v>55</v>
      </c>
      <c r="D10" s="6" t="s">
        <v>49</v>
      </c>
      <c r="E10" s="6" t="s">
        <v>20</v>
      </c>
      <c r="F10" s="6" t="s">
        <v>21</v>
      </c>
      <c r="G10" s="6" t="s">
        <v>22</v>
      </c>
      <c r="H10" s="6" t="s">
        <v>56</v>
      </c>
      <c r="I10" s="6" t="s">
        <v>57</v>
      </c>
      <c r="J10" s="6" t="s">
        <v>58</v>
      </c>
      <c r="K10" s="7"/>
      <c r="L10" s="7" t="s">
        <v>26</v>
      </c>
      <c r="M10" s="6" t="s">
        <v>53</v>
      </c>
      <c r="N10" s="6"/>
    </row>
    <row r="11" customFormat="false" ht="23.85" hidden="false" customHeight="false" outlineLevel="0" collapsed="false">
      <c r="A11" s="4" t="s">
        <v>59</v>
      </c>
      <c r="B11" s="4" t="s">
        <v>17</v>
      </c>
      <c r="C11" s="4" t="s">
        <v>60</v>
      </c>
      <c r="D11" s="4" t="s">
        <v>49</v>
      </c>
      <c r="E11" s="4" t="s">
        <v>20</v>
      </c>
      <c r="F11" s="4" t="s">
        <v>21</v>
      </c>
      <c r="G11" s="4" t="s">
        <v>22</v>
      </c>
      <c r="H11" s="4" t="s">
        <v>61</v>
      </c>
      <c r="I11" s="4" t="s">
        <v>62</v>
      </c>
      <c r="J11" s="4" t="s">
        <v>63</v>
      </c>
      <c r="K11" s="5"/>
      <c r="L11" s="5" t="s">
        <v>26</v>
      </c>
      <c r="M11" s="4" t="s">
        <v>53</v>
      </c>
      <c r="N11" s="4" t="s">
        <v>64</v>
      </c>
    </row>
    <row r="12" customFormat="false" ht="15" hidden="false" customHeight="false" outlineLevel="0" collapsed="false">
      <c r="A12" s="6" t="s">
        <v>65</v>
      </c>
      <c r="B12" s="6" t="s">
        <v>17</v>
      </c>
      <c r="C12" s="6" t="s">
        <v>66</v>
      </c>
      <c r="D12" s="6" t="s">
        <v>49</v>
      </c>
      <c r="E12" s="6" t="s">
        <v>20</v>
      </c>
      <c r="F12" s="6" t="s">
        <v>30</v>
      </c>
      <c r="G12" s="6" t="s">
        <v>22</v>
      </c>
      <c r="H12" s="6" t="s">
        <v>67</v>
      </c>
      <c r="I12" s="6" t="s">
        <v>68</v>
      </c>
      <c r="J12" s="6" t="s">
        <v>69</v>
      </c>
      <c r="K12" s="7"/>
      <c r="L12" s="7" t="s">
        <v>26</v>
      </c>
      <c r="M12" s="6" t="s">
        <v>53</v>
      </c>
      <c r="N12" s="6"/>
    </row>
    <row r="13" customFormat="false" ht="15" hidden="false" customHeight="false" outlineLevel="0" collapsed="false">
      <c r="A13" s="4" t="s">
        <v>70</v>
      </c>
      <c r="B13" s="4" t="s">
        <v>17</v>
      </c>
      <c r="C13" s="4" t="s">
        <v>71</v>
      </c>
      <c r="D13" s="4" t="s">
        <v>49</v>
      </c>
      <c r="E13" s="4" t="s">
        <v>36</v>
      </c>
      <c r="F13" s="4" t="s">
        <v>37</v>
      </c>
      <c r="G13" s="4" t="s">
        <v>22</v>
      </c>
      <c r="H13" s="4" t="s">
        <v>72</v>
      </c>
      <c r="I13" s="4" t="s">
        <v>73</v>
      </c>
      <c r="J13" s="4" t="s">
        <v>74</v>
      </c>
      <c r="K13" s="5"/>
      <c r="L13" s="5" t="s">
        <v>26</v>
      </c>
      <c r="M13" s="4" t="s">
        <v>53</v>
      </c>
      <c r="N13" s="4"/>
    </row>
    <row r="14" customFormat="false" ht="15" hidden="false" customHeight="false" outlineLevel="0" collapsed="false">
      <c r="A14" s="6" t="s">
        <v>75</v>
      </c>
      <c r="B14" s="6" t="s">
        <v>17</v>
      </c>
      <c r="C14" s="6" t="s">
        <v>76</v>
      </c>
      <c r="D14" s="6" t="s">
        <v>19</v>
      </c>
      <c r="E14" s="6" t="s">
        <v>20</v>
      </c>
      <c r="F14" s="6" t="s">
        <v>77</v>
      </c>
      <c r="G14" s="6" t="s">
        <v>22</v>
      </c>
      <c r="H14" s="6" t="s">
        <v>78</v>
      </c>
      <c r="I14" s="6" t="s">
        <v>32</v>
      </c>
      <c r="J14" s="6" t="s">
        <v>79</v>
      </c>
      <c r="K14" s="7"/>
      <c r="L14" s="7" t="s">
        <v>26</v>
      </c>
      <c r="M14" s="6" t="s">
        <v>80</v>
      </c>
      <c r="N14" s="6"/>
    </row>
    <row r="15" customFormat="false" ht="15" hidden="false" customHeight="false" outlineLevel="0" collapsed="false">
      <c r="A15" s="4" t="s">
        <v>81</v>
      </c>
      <c r="B15" s="4" t="s">
        <v>17</v>
      </c>
      <c r="C15" s="4" t="s">
        <v>82</v>
      </c>
      <c r="D15" s="4" t="s">
        <v>19</v>
      </c>
      <c r="E15" s="4" t="s">
        <v>20</v>
      </c>
      <c r="F15" s="4" t="s">
        <v>83</v>
      </c>
      <c r="G15" s="4" t="s">
        <v>22</v>
      </c>
      <c r="H15" s="4" t="s">
        <v>84</v>
      </c>
      <c r="I15" s="4" t="s">
        <v>32</v>
      </c>
      <c r="J15" s="4" t="s">
        <v>85</v>
      </c>
      <c r="K15" s="5"/>
      <c r="L15" s="5" t="s">
        <v>26</v>
      </c>
      <c r="M15" s="4" t="s">
        <v>80</v>
      </c>
      <c r="N15" s="4"/>
    </row>
    <row r="16" customFormat="false" ht="15" hidden="false" customHeight="false" outlineLevel="0" collapsed="false">
      <c r="A16" s="6" t="s">
        <v>86</v>
      </c>
      <c r="B16" s="6" t="s">
        <v>17</v>
      </c>
      <c r="C16" s="6" t="s">
        <v>87</v>
      </c>
      <c r="D16" s="6" t="s">
        <v>49</v>
      </c>
      <c r="E16" s="6" t="s">
        <v>20</v>
      </c>
      <c r="F16" s="6" t="s">
        <v>83</v>
      </c>
      <c r="G16" s="6" t="s">
        <v>22</v>
      </c>
      <c r="H16" s="6" t="s">
        <v>88</v>
      </c>
      <c r="I16" s="6" t="s">
        <v>57</v>
      </c>
      <c r="J16" s="6" t="s">
        <v>89</v>
      </c>
      <c r="K16" s="7"/>
      <c r="L16" s="7" t="s">
        <v>26</v>
      </c>
      <c r="M16" s="6" t="s">
        <v>80</v>
      </c>
      <c r="N16" s="6"/>
    </row>
    <row r="17" customFormat="false" ht="23.85" hidden="false" customHeight="false" outlineLevel="0" collapsed="false">
      <c r="A17" s="4" t="s">
        <v>90</v>
      </c>
      <c r="B17" s="4" t="s">
        <v>91</v>
      </c>
      <c r="C17" s="4" t="s">
        <v>92</v>
      </c>
      <c r="D17" s="4" t="s">
        <v>19</v>
      </c>
      <c r="E17" s="4" t="s">
        <v>20</v>
      </c>
      <c r="F17" s="4" t="s">
        <v>93</v>
      </c>
      <c r="G17" s="4" t="s">
        <v>38</v>
      </c>
      <c r="H17" s="4" t="s">
        <v>94</v>
      </c>
      <c r="I17" s="4" t="s">
        <v>24</v>
      </c>
      <c r="J17" s="4" t="s">
        <v>95</v>
      </c>
      <c r="K17" s="5"/>
      <c r="L17" s="5" t="s">
        <v>26</v>
      </c>
      <c r="M17" s="4" t="s">
        <v>27</v>
      </c>
      <c r="N17" s="4"/>
    </row>
    <row r="18" customFormat="false" ht="15" hidden="false" customHeight="false" outlineLevel="0" collapsed="false">
      <c r="A18" s="6" t="s">
        <v>96</v>
      </c>
      <c r="B18" s="6" t="s">
        <v>91</v>
      </c>
      <c r="C18" s="6" t="s">
        <v>97</v>
      </c>
      <c r="D18" s="6" t="s">
        <v>19</v>
      </c>
      <c r="E18" s="6" t="s">
        <v>36</v>
      </c>
      <c r="F18" s="6" t="s">
        <v>98</v>
      </c>
      <c r="G18" s="6" t="s">
        <v>99</v>
      </c>
      <c r="H18" s="6" t="s">
        <v>39</v>
      </c>
      <c r="I18" s="6" t="s">
        <v>32</v>
      </c>
      <c r="J18" s="6" t="s">
        <v>100</v>
      </c>
      <c r="K18" s="7"/>
      <c r="L18" s="7" t="s">
        <v>26</v>
      </c>
      <c r="M18" s="6" t="s">
        <v>27</v>
      </c>
      <c r="N18" s="6"/>
    </row>
    <row r="19" customFormat="false" ht="15" hidden="false" customHeight="false" outlineLevel="0" collapsed="false">
      <c r="A19" s="4" t="s">
        <v>101</v>
      </c>
      <c r="B19" s="4" t="s">
        <v>91</v>
      </c>
      <c r="C19" s="4" t="s">
        <v>102</v>
      </c>
      <c r="D19" s="4" t="s">
        <v>19</v>
      </c>
      <c r="E19" s="4" t="s">
        <v>36</v>
      </c>
      <c r="F19" s="4" t="s">
        <v>103</v>
      </c>
      <c r="G19" s="4" t="s">
        <v>38</v>
      </c>
      <c r="H19" s="4" t="s">
        <v>39</v>
      </c>
      <c r="I19" s="4" t="s">
        <v>32</v>
      </c>
      <c r="J19" s="4" t="s">
        <v>100</v>
      </c>
      <c r="K19" s="5"/>
      <c r="L19" s="5" t="s">
        <v>26</v>
      </c>
      <c r="M19" s="4" t="s">
        <v>27</v>
      </c>
      <c r="N19" s="4"/>
    </row>
    <row r="20" customFormat="false" ht="15" hidden="false" customHeight="false" outlineLevel="0" collapsed="false">
      <c r="A20" s="6" t="s">
        <v>104</v>
      </c>
      <c r="B20" s="6" t="s">
        <v>91</v>
      </c>
      <c r="C20" s="6" t="s">
        <v>105</v>
      </c>
      <c r="D20" s="6" t="s">
        <v>19</v>
      </c>
      <c r="E20" s="6" t="s">
        <v>106</v>
      </c>
      <c r="F20" s="6" t="s">
        <v>107</v>
      </c>
      <c r="G20" s="6" t="s">
        <v>38</v>
      </c>
      <c r="H20" s="6" t="s">
        <v>108</v>
      </c>
      <c r="I20" s="6" t="s">
        <v>32</v>
      </c>
      <c r="J20" s="6" t="s">
        <v>109</v>
      </c>
      <c r="K20" s="7"/>
      <c r="L20" s="7" t="s">
        <v>26</v>
      </c>
      <c r="M20" s="6" t="s">
        <v>27</v>
      </c>
      <c r="N20" s="6"/>
    </row>
    <row r="21" customFormat="false" ht="15" hidden="false" customHeight="false" outlineLevel="0" collapsed="false">
      <c r="A21" s="4" t="s">
        <v>110</v>
      </c>
      <c r="B21" s="4" t="s">
        <v>91</v>
      </c>
      <c r="C21" s="4" t="s">
        <v>111</v>
      </c>
      <c r="D21" s="4" t="s">
        <v>49</v>
      </c>
      <c r="E21" s="4" t="s">
        <v>36</v>
      </c>
      <c r="F21" s="4" t="s">
        <v>112</v>
      </c>
      <c r="G21" s="4" t="s">
        <v>38</v>
      </c>
      <c r="H21" s="4" t="s">
        <v>113</v>
      </c>
      <c r="I21" s="4" t="s">
        <v>114</v>
      </c>
      <c r="J21" s="4" t="s">
        <v>115</v>
      </c>
      <c r="K21" s="5"/>
      <c r="L21" s="5" t="s">
        <v>26</v>
      </c>
      <c r="M21" s="4" t="s">
        <v>53</v>
      </c>
      <c r="N21" s="4"/>
    </row>
    <row r="22" customFormat="false" ht="15" hidden="false" customHeight="false" outlineLevel="0" collapsed="false">
      <c r="A22" s="6" t="s">
        <v>116</v>
      </c>
      <c r="B22" s="6" t="s">
        <v>91</v>
      </c>
      <c r="C22" s="6" t="s">
        <v>117</v>
      </c>
      <c r="D22" s="6" t="s">
        <v>19</v>
      </c>
      <c r="E22" s="6" t="s">
        <v>36</v>
      </c>
      <c r="F22" s="6" t="s">
        <v>118</v>
      </c>
      <c r="G22" s="6" t="s">
        <v>44</v>
      </c>
      <c r="H22" s="6" t="s">
        <v>119</v>
      </c>
      <c r="I22" s="6" t="s">
        <v>32</v>
      </c>
      <c r="J22" s="6" t="s">
        <v>120</v>
      </c>
      <c r="K22" s="7"/>
      <c r="L22" s="7" t="s">
        <v>26</v>
      </c>
      <c r="M22" s="6" t="s">
        <v>80</v>
      </c>
      <c r="N22" s="6"/>
    </row>
    <row r="23" customFormat="false" ht="15" hidden="false" customHeight="false" outlineLevel="0" collapsed="false">
      <c r="A23" s="4" t="s">
        <v>121</v>
      </c>
      <c r="B23" s="4" t="s">
        <v>91</v>
      </c>
      <c r="C23" s="4" t="s">
        <v>122</v>
      </c>
      <c r="D23" s="4" t="s">
        <v>19</v>
      </c>
      <c r="E23" s="4" t="s">
        <v>106</v>
      </c>
      <c r="F23" s="4" t="s">
        <v>123</v>
      </c>
      <c r="G23" s="4" t="s">
        <v>44</v>
      </c>
      <c r="H23" s="4" t="s">
        <v>124</v>
      </c>
      <c r="I23" s="4" t="s">
        <v>32</v>
      </c>
      <c r="J23" s="4" t="s">
        <v>125</v>
      </c>
      <c r="K23" s="5"/>
      <c r="L23" s="5" t="s">
        <v>26</v>
      </c>
      <c r="M23" s="4" t="s">
        <v>80</v>
      </c>
      <c r="N23" s="4"/>
    </row>
    <row r="24" customFormat="false" ht="15" hidden="false" customHeight="false" outlineLevel="0" collapsed="false">
      <c r="A24" s="6" t="s">
        <v>126</v>
      </c>
      <c r="B24" s="6" t="s">
        <v>127</v>
      </c>
      <c r="C24" s="6" t="s">
        <v>128</v>
      </c>
      <c r="D24" s="6" t="s">
        <v>19</v>
      </c>
      <c r="E24" s="6" t="s">
        <v>20</v>
      </c>
      <c r="F24" s="6" t="s">
        <v>129</v>
      </c>
      <c r="G24" s="6" t="s">
        <v>38</v>
      </c>
      <c r="H24" s="6" t="s">
        <v>130</v>
      </c>
      <c r="I24" s="6" t="s">
        <v>24</v>
      </c>
      <c r="J24" s="6" t="s">
        <v>131</v>
      </c>
      <c r="K24" s="7"/>
      <c r="L24" s="7" t="s">
        <v>26</v>
      </c>
      <c r="M24" s="6" t="s">
        <v>27</v>
      </c>
      <c r="N24" s="6"/>
    </row>
    <row r="25" customFormat="false" ht="23.85" hidden="false" customHeight="false" outlineLevel="0" collapsed="false">
      <c r="A25" s="4" t="s">
        <v>132</v>
      </c>
      <c r="B25" s="4" t="s">
        <v>127</v>
      </c>
      <c r="C25" s="4" t="s">
        <v>133</v>
      </c>
      <c r="D25" s="4" t="s">
        <v>19</v>
      </c>
      <c r="E25" s="4" t="s">
        <v>36</v>
      </c>
      <c r="F25" s="4" t="s">
        <v>134</v>
      </c>
      <c r="G25" s="4" t="s">
        <v>135</v>
      </c>
      <c r="H25" s="4" t="s">
        <v>39</v>
      </c>
      <c r="I25" s="4" t="s">
        <v>32</v>
      </c>
      <c r="J25" s="4" t="s">
        <v>136</v>
      </c>
      <c r="K25" s="5"/>
      <c r="L25" s="5" t="s">
        <v>26</v>
      </c>
      <c r="M25" s="4" t="s">
        <v>27</v>
      </c>
      <c r="N25" s="4" t="s">
        <v>137</v>
      </c>
    </row>
    <row r="26" customFormat="false" ht="15" hidden="false" customHeight="false" outlineLevel="0" collapsed="false">
      <c r="A26" s="6" t="s">
        <v>138</v>
      </c>
      <c r="B26" s="6" t="s">
        <v>127</v>
      </c>
      <c r="C26" s="6" t="s">
        <v>139</v>
      </c>
      <c r="D26" s="6" t="s">
        <v>19</v>
      </c>
      <c r="E26" s="6" t="s">
        <v>36</v>
      </c>
      <c r="F26" s="6" t="s">
        <v>140</v>
      </c>
      <c r="G26" s="6" t="s">
        <v>38</v>
      </c>
      <c r="H26" s="6" t="s">
        <v>141</v>
      </c>
      <c r="I26" s="6" t="s">
        <v>32</v>
      </c>
      <c r="J26" s="6" t="s">
        <v>142</v>
      </c>
      <c r="K26" s="7"/>
      <c r="L26" s="7" t="s">
        <v>26</v>
      </c>
      <c r="M26" s="6" t="s">
        <v>27</v>
      </c>
      <c r="N26" s="6" t="s">
        <v>143</v>
      </c>
    </row>
    <row r="27" customFormat="false" ht="15" hidden="false" customHeight="false" outlineLevel="0" collapsed="false">
      <c r="A27" s="4" t="s">
        <v>144</v>
      </c>
      <c r="B27" s="4" t="s">
        <v>127</v>
      </c>
      <c r="C27" s="4" t="s">
        <v>145</v>
      </c>
      <c r="D27" s="4" t="s">
        <v>19</v>
      </c>
      <c r="E27" s="4" t="s">
        <v>36</v>
      </c>
      <c r="F27" s="4" t="s">
        <v>146</v>
      </c>
      <c r="G27" s="4" t="s">
        <v>38</v>
      </c>
      <c r="H27" s="4" t="s">
        <v>147</v>
      </c>
      <c r="I27" s="4" t="s">
        <v>32</v>
      </c>
      <c r="J27" s="4" t="s">
        <v>148</v>
      </c>
      <c r="K27" s="5"/>
      <c r="L27" s="5" t="s">
        <v>26</v>
      </c>
      <c r="M27" s="4" t="s">
        <v>27</v>
      </c>
      <c r="N27" s="4"/>
    </row>
    <row r="28" customFormat="false" ht="23.85" hidden="false" customHeight="false" outlineLevel="0" collapsed="false">
      <c r="A28" s="6" t="s">
        <v>149</v>
      </c>
      <c r="B28" s="6" t="s">
        <v>127</v>
      </c>
      <c r="C28" s="6" t="s">
        <v>150</v>
      </c>
      <c r="D28" s="6" t="s">
        <v>19</v>
      </c>
      <c r="E28" s="6" t="s">
        <v>106</v>
      </c>
      <c r="F28" s="6" t="s">
        <v>146</v>
      </c>
      <c r="G28" s="6" t="s">
        <v>38</v>
      </c>
      <c r="H28" s="6" t="s">
        <v>151</v>
      </c>
      <c r="I28" s="6" t="s">
        <v>32</v>
      </c>
      <c r="J28" s="6" t="s">
        <v>152</v>
      </c>
      <c r="K28" s="7"/>
      <c r="L28" s="7" t="s">
        <v>26</v>
      </c>
      <c r="M28" s="6" t="s">
        <v>27</v>
      </c>
      <c r="N28" s="6"/>
    </row>
    <row r="29" customFormat="false" ht="15" hidden="false" customHeight="false" outlineLevel="0" collapsed="false">
      <c r="A29" s="4" t="s">
        <v>153</v>
      </c>
      <c r="B29" s="4" t="s">
        <v>127</v>
      </c>
      <c r="C29" s="4" t="s">
        <v>154</v>
      </c>
      <c r="D29" s="4" t="s">
        <v>19</v>
      </c>
      <c r="E29" s="4" t="s">
        <v>155</v>
      </c>
      <c r="F29" s="4" t="s">
        <v>146</v>
      </c>
      <c r="G29" s="4" t="s">
        <v>38</v>
      </c>
      <c r="H29" s="4" t="s">
        <v>147</v>
      </c>
      <c r="I29" s="4" t="s">
        <v>156</v>
      </c>
      <c r="J29" s="4" t="s">
        <v>157</v>
      </c>
      <c r="K29" s="5"/>
      <c r="L29" s="5" t="s">
        <v>26</v>
      </c>
      <c r="M29" s="4" t="s">
        <v>80</v>
      </c>
      <c r="N29" s="4"/>
    </row>
    <row r="30" customFormat="false" ht="15" hidden="false" customHeight="false" outlineLevel="0" collapsed="false">
      <c r="A30" s="6" t="s">
        <v>158</v>
      </c>
      <c r="B30" s="6" t="s">
        <v>159</v>
      </c>
      <c r="C30" s="6" t="s">
        <v>160</v>
      </c>
      <c r="D30" s="6" t="s">
        <v>19</v>
      </c>
      <c r="E30" s="6" t="s">
        <v>20</v>
      </c>
      <c r="F30" s="6" t="s">
        <v>161</v>
      </c>
      <c r="G30" s="6" t="s">
        <v>38</v>
      </c>
      <c r="H30" s="6" t="s">
        <v>162</v>
      </c>
      <c r="I30" s="6" t="s">
        <v>24</v>
      </c>
      <c r="J30" s="6" t="s">
        <v>163</v>
      </c>
      <c r="K30" s="7"/>
      <c r="L30" s="7" t="s">
        <v>26</v>
      </c>
      <c r="M30" s="6" t="s">
        <v>27</v>
      </c>
      <c r="N30" s="6"/>
    </row>
    <row r="31" customFormat="false" ht="15" hidden="false" customHeight="false" outlineLevel="0" collapsed="false">
      <c r="A31" s="4" t="s">
        <v>164</v>
      </c>
      <c r="B31" s="4" t="s">
        <v>159</v>
      </c>
      <c r="C31" s="4" t="s">
        <v>165</v>
      </c>
      <c r="D31" s="4" t="s">
        <v>19</v>
      </c>
      <c r="E31" s="4" t="s">
        <v>36</v>
      </c>
      <c r="F31" s="4" t="s">
        <v>166</v>
      </c>
      <c r="G31" s="4" t="s">
        <v>38</v>
      </c>
      <c r="H31" s="4" t="s">
        <v>141</v>
      </c>
      <c r="I31" s="4" t="s">
        <v>32</v>
      </c>
      <c r="J31" s="4" t="s">
        <v>167</v>
      </c>
      <c r="K31" s="5"/>
      <c r="L31" s="5" t="s">
        <v>26</v>
      </c>
      <c r="M31" s="4" t="s">
        <v>27</v>
      </c>
      <c r="N31" s="4"/>
    </row>
    <row r="32" customFormat="false" ht="15" hidden="false" customHeight="false" outlineLevel="0" collapsed="false">
      <c r="A32" s="6" t="s">
        <v>168</v>
      </c>
      <c r="B32" s="6" t="s">
        <v>159</v>
      </c>
      <c r="C32" s="6" t="s">
        <v>169</v>
      </c>
      <c r="D32" s="6" t="s">
        <v>19</v>
      </c>
      <c r="E32" s="6" t="s">
        <v>106</v>
      </c>
      <c r="F32" s="6" t="s">
        <v>170</v>
      </c>
      <c r="G32" s="6" t="s">
        <v>38</v>
      </c>
      <c r="H32" s="6" t="s">
        <v>171</v>
      </c>
      <c r="I32" s="6" t="s">
        <v>32</v>
      </c>
      <c r="J32" s="6" t="s">
        <v>172</v>
      </c>
      <c r="K32" s="7"/>
      <c r="L32" s="7" t="s">
        <v>26</v>
      </c>
      <c r="M32" s="6" t="s">
        <v>27</v>
      </c>
      <c r="N32" s="6"/>
    </row>
    <row r="33" customFormat="false" ht="15" hidden="false" customHeight="false" outlineLevel="0" collapsed="false">
      <c r="A33" s="4" t="s">
        <v>173</v>
      </c>
      <c r="B33" s="4" t="s">
        <v>159</v>
      </c>
      <c r="C33" s="4" t="s">
        <v>174</v>
      </c>
      <c r="D33" s="4" t="s">
        <v>19</v>
      </c>
      <c r="E33" s="4" t="s">
        <v>155</v>
      </c>
      <c r="F33" s="4" t="s">
        <v>170</v>
      </c>
      <c r="G33" s="4" t="s">
        <v>38</v>
      </c>
      <c r="H33" s="4" t="s">
        <v>147</v>
      </c>
      <c r="I33" s="4" t="s">
        <v>156</v>
      </c>
      <c r="J33" s="4" t="s">
        <v>175</v>
      </c>
      <c r="K33" s="5"/>
      <c r="L33" s="5" t="s">
        <v>26</v>
      </c>
      <c r="M33" s="4" t="s">
        <v>80</v>
      </c>
      <c r="N33" s="4"/>
    </row>
    <row r="34" customFormat="false" ht="15" hidden="false" customHeight="false" outlineLevel="0" collapsed="false">
      <c r="A34" s="6" t="s">
        <v>176</v>
      </c>
      <c r="B34" s="6" t="s">
        <v>159</v>
      </c>
      <c r="C34" s="6" t="s">
        <v>177</v>
      </c>
      <c r="D34" s="6" t="s">
        <v>49</v>
      </c>
      <c r="E34" s="6" t="s">
        <v>20</v>
      </c>
      <c r="F34" s="6" t="s">
        <v>161</v>
      </c>
      <c r="G34" s="6" t="s">
        <v>178</v>
      </c>
      <c r="H34" s="6" t="s">
        <v>179</v>
      </c>
      <c r="I34" s="6" t="s">
        <v>180</v>
      </c>
      <c r="J34" s="6" t="s">
        <v>74</v>
      </c>
      <c r="K34" s="7"/>
      <c r="L34" s="7" t="s">
        <v>26</v>
      </c>
      <c r="M34" s="6" t="s">
        <v>53</v>
      </c>
      <c r="N34" s="6" t="s">
        <v>181</v>
      </c>
    </row>
    <row r="35" customFormat="false" ht="23.85" hidden="false" customHeight="false" outlineLevel="0" collapsed="false">
      <c r="A35" s="4" t="s">
        <v>182</v>
      </c>
      <c r="B35" s="4" t="s">
        <v>183</v>
      </c>
      <c r="C35" s="4" t="s">
        <v>184</v>
      </c>
      <c r="D35" s="4" t="s">
        <v>19</v>
      </c>
      <c r="E35" s="4" t="s">
        <v>20</v>
      </c>
      <c r="F35" s="4" t="s">
        <v>185</v>
      </c>
      <c r="G35" s="4" t="s">
        <v>38</v>
      </c>
      <c r="H35" s="4" t="s">
        <v>186</v>
      </c>
      <c r="I35" s="4" t="s">
        <v>24</v>
      </c>
      <c r="J35" s="4" t="s">
        <v>187</v>
      </c>
      <c r="K35" s="5"/>
      <c r="L35" s="5" t="s">
        <v>26</v>
      </c>
      <c r="M35" s="4" t="s">
        <v>27</v>
      </c>
      <c r="N35" s="4"/>
    </row>
    <row r="36" customFormat="false" ht="15" hidden="false" customHeight="false" outlineLevel="0" collapsed="false">
      <c r="A36" s="6" t="s">
        <v>188</v>
      </c>
      <c r="B36" s="6" t="s">
        <v>183</v>
      </c>
      <c r="C36" s="6" t="s">
        <v>189</v>
      </c>
      <c r="D36" s="6" t="s">
        <v>19</v>
      </c>
      <c r="E36" s="6" t="s">
        <v>36</v>
      </c>
      <c r="F36" s="6" t="s">
        <v>190</v>
      </c>
      <c r="G36" s="6" t="s">
        <v>38</v>
      </c>
      <c r="H36" s="6" t="s">
        <v>141</v>
      </c>
      <c r="I36" s="6" t="s">
        <v>32</v>
      </c>
      <c r="J36" s="6" t="s">
        <v>191</v>
      </c>
      <c r="K36" s="7"/>
      <c r="L36" s="7" t="s">
        <v>26</v>
      </c>
      <c r="M36" s="6" t="s">
        <v>27</v>
      </c>
      <c r="N36" s="6"/>
    </row>
    <row r="37" customFormat="false" ht="15" hidden="false" customHeight="false" outlineLevel="0" collapsed="false">
      <c r="A37" s="4" t="s">
        <v>192</v>
      </c>
      <c r="B37" s="4" t="s">
        <v>183</v>
      </c>
      <c r="C37" s="4" t="s">
        <v>193</v>
      </c>
      <c r="D37" s="4" t="s">
        <v>19</v>
      </c>
      <c r="E37" s="4" t="s">
        <v>194</v>
      </c>
      <c r="F37" s="4" t="s">
        <v>195</v>
      </c>
      <c r="G37" s="4" t="s">
        <v>38</v>
      </c>
      <c r="H37" s="4" t="s">
        <v>196</v>
      </c>
      <c r="I37" s="4" t="s">
        <v>32</v>
      </c>
      <c r="J37" s="4" t="s">
        <v>197</v>
      </c>
      <c r="K37" s="5"/>
      <c r="L37" s="5" t="s">
        <v>26</v>
      </c>
      <c r="M37" s="4" t="s">
        <v>27</v>
      </c>
      <c r="N37" s="4"/>
    </row>
    <row r="38" customFormat="false" ht="15" hidden="false" customHeight="false" outlineLevel="0" collapsed="false">
      <c r="A38" s="6" t="s">
        <v>198</v>
      </c>
      <c r="B38" s="6" t="s">
        <v>183</v>
      </c>
      <c r="C38" s="6" t="s">
        <v>199</v>
      </c>
      <c r="D38" s="6" t="s">
        <v>19</v>
      </c>
      <c r="E38" s="6" t="s">
        <v>36</v>
      </c>
      <c r="F38" s="6" t="s">
        <v>195</v>
      </c>
      <c r="G38" s="6" t="s">
        <v>38</v>
      </c>
      <c r="H38" s="6" t="s">
        <v>147</v>
      </c>
      <c r="I38" s="6" t="s">
        <v>32</v>
      </c>
      <c r="J38" s="6" t="s">
        <v>200</v>
      </c>
      <c r="K38" s="7"/>
      <c r="L38" s="7" t="s">
        <v>26</v>
      </c>
      <c r="M38" s="6" t="s">
        <v>80</v>
      </c>
      <c r="N38" s="6"/>
    </row>
    <row r="39" customFormat="false" ht="15" hidden="false" customHeight="false" outlineLevel="0" collapsed="false">
      <c r="A39" s="4" t="s">
        <v>201</v>
      </c>
      <c r="B39" s="4" t="s">
        <v>183</v>
      </c>
      <c r="C39" s="4" t="s">
        <v>202</v>
      </c>
      <c r="D39" s="4" t="s">
        <v>19</v>
      </c>
      <c r="E39" s="4" t="s">
        <v>36</v>
      </c>
      <c r="F39" s="4" t="s">
        <v>203</v>
      </c>
      <c r="G39" s="4" t="s">
        <v>178</v>
      </c>
      <c r="H39" s="4" t="s">
        <v>204</v>
      </c>
      <c r="I39" s="4" t="s">
        <v>32</v>
      </c>
      <c r="J39" s="4" t="s">
        <v>205</v>
      </c>
      <c r="K39" s="5"/>
      <c r="L39" s="5" t="s">
        <v>26</v>
      </c>
      <c r="M39" s="4" t="s">
        <v>80</v>
      </c>
      <c r="N39" s="4"/>
    </row>
    <row r="40" customFormat="false" ht="15" hidden="false" customHeight="false" outlineLevel="0" collapsed="false">
      <c r="A40" s="6" t="s">
        <v>206</v>
      </c>
      <c r="B40" s="6" t="s">
        <v>183</v>
      </c>
      <c r="C40" s="6" t="s">
        <v>207</v>
      </c>
      <c r="D40" s="6" t="s">
        <v>19</v>
      </c>
      <c r="E40" s="6" t="s">
        <v>155</v>
      </c>
      <c r="F40" s="6" t="s">
        <v>195</v>
      </c>
      <c r="G40" s="6" t="s">
        <v>38</v>
      </c>
      <c r="H40" s="6" t="s">
        <v>147</v>
      </c>
      <c r="I40" s="6" t="s">
        <v>156</v>
      </c>
      <c r="J40" s="6" t="s">
        <v>208</v>
      </c>
      <c r="K40" s="7"/>
      <c r="L40" s="7" t="s">
        <v>26</v>
      </c>
      <c r="M40" s="6" t="s">
        <v>80</v>
      </c>
      <c r="N40" s="6"/>
    </row>
    <row r="41" customFormat="false" ht="15" hidden="false" customHeight="false" outlineLevel="0" collapsed="false">
      <c r="A41" s="4" t="s">
        <v>209</v>
      </c>
      <c r="B41" s="4" t="s">
        <v>183</v>
      </c>
      <c r="C41" s="4" t="s">
        <v>210</v>
      </c>
      <c r="D41" s="4" t="s">
        <v>49</v>
      </c>
      <c r="E41" s="4" t="s">
        <v>20</v>
      </c>
      <c r="F41" s="4" t="s">
        <v>185</v>
      </c>
      <c r="G41" s="4" t="s">
        <v>38</v>
      </c>
      <c r="H41" s="4" t="s">
        <v>211</v>
      </c>
      <c r="I41" s="4" t="s">
        <v>51</v>
      </c>
      <c r="J41" s="4" t="s">
        <v>89</v>
      </c>
      <c r="K41" s="5"/>
      <c r="L41" s="5" t="s">
        <v>26</v>
      </c>
      <c r="M41" s="4" t="s">
        <v>53</v>
      </c>
      <c r="N41" s="4"/>
    </row>
    <row r="42" customFormat="false" ht="15" hidden="false" customHeight="false" outlineLevel="0" collapsed="false">
      <c r="A42" s="6" t="s">
        <v>212</v>
      </c>
      <c r="B42" s="6" t="s">
        <v>183</v>
      </c>
      <c r="C42" s="6" t="s">
        <v>213</v>
      </c>
      <c r="D42" s="6" t="s">
        <v>49</v>
      </c>
      <c r="E42" s="6" t="s">
        <v>20</v>
      </c>
      <c r="F42" s="6" t="s">
        <v>185</v>
      </c>
      <c r="G42" s="6" t="s">
        <v>178</v>
      </c>
      <c r="H42" s="6" t="s">
        <v>214</v>
      </c>
      <c r="I42" s="6" t="s">
        <v>180</v>
      </c>
      <c r="J42" s="6" t="s">
        <v>74</v>
      </c>
      <c r="K42" s="7"/>
      <c r="L42" s="7" t="s">
        <v>26</v>
      </c>
      <c r="M42" s="6" t="s">
        <v>53</v>
      </c>
      <c r="N42" s="6"/>
    </row>
    <row r="43" customFormat="false" ht="23.85" hidden="false" customHeight="false" outlineLevel="0" collapsed="false">
      <c r="A43" s="4" t="s">
        <v>215</v>
      </c>
      <c r="B43" s="4" t="s">
        <v>216</v>
      </c>
      <c r="C43" s="4" t="s">
        <v>217</v>
      </c>
      <c r="D43" s="4" t="s">
        <v>19</v>
      </c>
      <c r="E43" s="4" t="s">
        <v>20</v>
      </c>
      <c r="F43" s="4" t="s">
        <v>218</v>
      </c>
      <c r="G43" s="4" t="s">
        <v>178</v>
      </c>
      <c r="H43" s="4" t="s">
        <v>219</v>
      </c>
      <c r="I43" s="4" t="s">
        <v>24</v>
      </c>
      <c r="J43" s="4" t="s">
        <v>220</v>
      </c>
      <c r="K43" s="5"/>
      <c r="L43" s="5" t="s">
        <v>26</v>
      </c>
      <c r="M43" s="4" t="s">
        <v>27</v>
      </c>
      <c r="N43" s="4" t="s">
        <v>221</v>
      </c>
    </row>
    <row r="44" customFormat="false" ht="23.85" hidden="false" customHeight="false" outlineLevel="0" collapsed="false">
      <c r="A44" s="6" t="s">
        <v>222</v>
      </c>
      <c r="B44" s="6" t="s">
        <v>216</v>
      </c>
      <c r="C44" s="6" t="s">
        <v>223</v>
      </c>
      <c r="D44" s="6" t="s">
        <v>19</v>
      </c>
      <c r="E44" s="6" t="s">
        <v>36</v>
      </c>
      <c r="F44" s="6" t="s">
        <v>224</v>
      </c>
      <c r="G44" s="6" t="s">
        <v>135</v>
      </c>
      <c r="H44" s="6" t="s">
        <v>225</v>
      </c>
      <c r="I44" s="6" t="s">
        <v>32</v>
      </c>
      <c r="J44" s="6" t="s">
        <v>226</v>
      </c>
      <c r="K44" s="7"/>
      <c r="L44" s="7" t="s">
        <v>26</v>
      </c>
      <c r="M44" s="6" t="s">
        <v>27</v>
      </c>
      <c r="N44" s="6"/>
    </row>
    <row r="45" customFormat="false" ht="15" hidden="false" customHeight="false" outlineLevel="0" collapsed="false">
      <c r="A45" s="4" t="s">
        <v>227</v>
      </c>
      <c r="B45" s="4" t="s">
        <v>216</v>
      </c>
      <c r="C45" s="4" t="s">
        <v>228</v>
      </c>
      <c r="D45" s="4" t="s">
        <v>19</v>
      </c>
      <c r="E45" s="4" t="s">
        <v>36</v>
      </c>
      <c r="F45" s="4" t="s">
        <v>229</v>
      </c>
      <c r="G45" s="4" t="s">
        <v>178</v>
      </c>
      <c r="H45" s="4" t="s">
        <v>230</v>
      </c>
      <c r="I45" s="4" t="s">
        <v>32</v>
      </c>
      <c r="J45" s="4" t="s">
        <v>226</v>
      </c>
      <c r="K45" s="5"/>
      <c r="L45" s="5" t="s">
        <v>26</v>
      </c>
      <c r="M45" s="4" t="s">
        <v>27</v>
      </c>
      <c r="N45" s="4"/>
    </row>
    <row r="46" customFormat="false" ht="15" hidden="false" customHeight="false" outlineLevel="0" collapsed="false">
      <c r="A46" s="6" t="s">
        <v>231</v>
      </c>
      <c r="B46" s="6" t="s">
        <v>216</v>
      </c>
      <c r="C46" s="6" t="s">
        <v>232</v>
      </c>
      <c r="D46" s="6" t="s">
        <v>19</v>
      </c>
      <c r="E46" s="6" t="s">
        <v>36</v>
      </c>
      <c r="F46" s="6" t="s">
        <v>233</v>
      </c>
      <c r="G46" s="6" t="s">
        <v>178</v>
      </c>
      <c r="H46" s="6" t="s">
        <v>234</v>
      </c>
      <c r="I46" s="6" t="s">
        <v>32</v>
      </c>
      <c r="J46" s="6" t="s">
        <v>235</v>
      </c>
      <c r="K46" s="7"/>
      <c r="L46" s="7" t="s">
        <v>26</v>
      </c>
      <c r="M46" s="6" t="s">
        <v>27</v>
      </c>
      <c r="N46" s="6" t="s">
        <v>236</v>
      </c>
    </row>
    <row r="47" customFormat="false" ht="15" hidden="false" customHeight="false" outlineLevel="0" collapsed="false">
      <c r="A47" s="4" t="s">
        <v>237</v>
      </c>
      <c r="B47" s="4" t="s">
        <v>216</v>
      </c>
      <c r="C47" s="4" t="s">
        <v>238</v>
      </c>
      <c r="D47" s="4" t="s">
        <v>19</v>
      </c>
      <c r="E47" s="4" t="s">
        <v>36</v>
      </c>
      <c r="F47" s="4" t="s">
        <v>239</v>
      </c>
      <c r="G47" s="4" t="s">
        <v>178</v>
      </c>
      <c r="H47" s="4" t="s">
        <v>225</v>
      </c>
      <c r="I47" s="4" t="s">
        <v>32</v>
      </c>
      <c r="J47" s="4" t="s">
        <v>240</v>
      </c>
      <c r="K47" s="5"/>
      <c r="L47" s="5" t="s">
        <v>26</v>
      </c>
      <c r="M47" s="4" t="s">
        <v>27</v>
      </c>
      <c r="N47" s="4"/>
    </row>
    <row r="48" customFormat="false" ht="23.85" hidden="false" customHeight="false" outlineLevel="0" collapsed="false">
      <c r="A48" s="6" t="s">
        <v>241</v>
      </c>
      <c r="B48" s="6" t="s">
        <v>216</v>
      </c>
      <c r="C48" s="6" t="s">
        <v>242</v>
      </c>
      <c r="D48" s="6" t="s">
        <v>19</v>
      </c>
      <c r="E48" s="6" t="s">
        <v>36</v>
      </c>
      <c r="F48" s="6" t="s">
        <v>243</v>
      </c>
      <c r="G48" s="6" t="s">
        <v>135</v>
      </c>
      <c r="H48" s="6" t="s">
        <v>225</v>
      </c>
      <c r="I48" s="6" t="s">
        <v>32</v>
      </c>
      <c r="J48" s="6" t="s">
        <v>244</v>
      </c>
      <c r="K48" s="7"/>
      <c r="L48" s="7" t="s">
        <v>26</v>
      </c>
      <c r="M48" s="6" t="s">
        <v>27</v>
      </c>
      <c r="N48" s="6" t="s">
        <v>245</v>
      </c>
    </row>
    <row r="49" customFormat="false" ht="15" hidden="false" customHeight="false" outlineLevel="0" collapsed="false">
      <c r="A49" s="4" t="s">
        <v>246</v>
      </c>
      <c r="B49" s="4" t="s">
        <v>216</v>
      </c>
      <c r="C49" s="4" t="s">
        <v>247</v>
      </c>
      <c r="D49" s="4" t="s">
        <v>49</v>
      </c>
      <c r="E49" s="4" t="s">
        <v>36</v>
      </c>
      <c r="F49" s="4" t="s">
        <v>243</v>
      </c>
      <c r="G49" s="4" t="s">
        <v>178</v>
      </c>
      <c r="H49" s="4" t="s">
        <v>225</v>
      </c>
      <c r="I49" s="4" t="s">
        <v>180</v>
      </c>
      <c r="J49" s="4" t="s">
        <v>74</v>
      </c>
      <c r="K49" s="5"/>
      <c r="L49" s="5" t="s">
        <v>26</v>
      </c>
      <c r="M49" s="4" t="s">
        <v>53</v>
      </c>
      <c r="N49" s="4"/>
    </row>
    <row r="50" customFormat="false" ht="15" hidden="false" customHeight="false" outlineLevel="0" collapsed="false">
      <c r="A50" s="6" t="s">
        <v>248</v>
      </c>
      <c r="B50" s="6" t="s">
        <v>216</v>
      </c>
      <c r="C50" s="6" t="s">
        <v>249</v>
      </c>
      <c r="D50" s="6" t="s">
        <v>49</v>
      </c>
      <c r="E50" s="6" t="s">
        <v>20</v>
      </c>
      <c r="F50" s="6" t="s">
        <v>218</v>
      </c>
      <c r="G50" s="6" t="s">
        <v>178</v>
      </c>
      <c r="H50" s="6" t="s">
        <v>250</v>
      </c>
      <c r="I50" s="6" t="s">
        <v>57</v>
      </c>
      <c r="J50" s="6" t="s">
        <v>251</v>
      </c>
      <c r="K50" s="7"/>
      <c r="L50" s="7" t="s">
        <v>26</v>
      </c>
      <c r="M50" s="6" t="s">
        <v>53</v>
      </c>
      <c r="N50" s="6"/>
    </row>
    <row r="51" customFormat="false" ht="15" hidden="false" customHeight="false" outlineLevel="0" collapsed="false">
      <c r="A51" s="4" t="s">
        <v>252</v>
      </c>
      <c r="B51" s="4" t="s">
        <v>216</v>
      </c>
      <c r="C51" s="4" t="s">
        <v>253</v>
      </c>
      <c r="D51" s="4" t="s">
        <v>19</v>
      </c>
      <c r="E51" s="4" t="s">
        <v>36</v>
      </c>
      <c r="F51" s="4" t="s">
        <v>254</v>
      </c>
      <c r="G51" s="4" t="s">
        <v>178</v>
      </c>
      <c r="H51" s="4" t="s">
        <v>255</v>
      </c>
      <c r="I51" s="4" t="s">
        <v>32</v>
      </c>
      <c r="J51" s="4" t="s">
        <v>226</v>
      </c>
      <c r="K51" s="5"/>
      <c r="L51" s="5" t="s">
        <v>26</v>
      </c>
      <c r="M51" s="4" t="s">
        <v>80</v>
      </c>
      <c r="N51" s="4"/>
    </row>
    <row r="52" customFormat="false" ht="15" hidden="false" customHeight="false" outlineLevel="0" collapsed="false">
      <c r="A52" s="6" t="s">
        <v>256</v>
      </c>
      <c r="B52" s="6" t="s">
        <v>216</v>
      </c>
      <c r="C52" s="6" t="s">
        <v>257</v>
      </c>
      <c r="D52" s="6" t="s">
        <v>19</v>
      </c>
      <c r="E52" s="6" t="s">
        <v>155</v>
      </c>
      <c r="F52" s="6" t="s">
        <v>258</v>
      </c>
      <c r="G52" s="6" t="s">
        <v>99</v>
      </c>
      <c r="H52" s="6" t="s">
        <v>147</v>
      </c>
      <c r="I52" s="6" t="s">
        <v>156</v>
      </c>
      <c r="J52" s="6" t="s">
        <v>259</v>
      </c>
      <c r="K52" s="7"/>
      <c r="L52" s="7" t="s">
        <v>26</v>
      </c>
      <c r="M52" s="6" t="s">
        <v>80</v>
      </c>
      <c r="N52" s="6"/>
    </row>
    <row r="53" customFormat="false" ht="15" hidden="false" customHeight="false" outlineLevel="0" collapsed="false">
      <c r="A53" s="4" t="s">
        <v>260</v>
      </c>
      <c r="B53" s="4" t="s">
        <v>261</v>
      </c>
      <c r="C53" s="4" t="s">
        <v>262</v>
      </c>
      <c r="D53" s="4" t="s">
        <v>19</v>
      </c>
      <c r="E53" s="4" t="s">
        <v>36</v>
      </c>
      <c r="F53" s="4" t="s">
        <v>263</v>
      </c>
      <c r="G53" s="4" t="s">
        <v>38</v>
      </c>
      <c r="H53" s="4" t="s">
        <v>141</v>
      </c>
      <c r="I53" s="4" t="s">
        <v>32</v>
      </c>
      <c r="J53" s="4" t="s">
        <v>264</v>
      </c>
      <c r="K53" s="5"/>
      <c r="L53" s="5" t="s">
        <v>26</v>
      </c>
      <c r="M53" s="4" t="s">
        <v>27</v>
      </c>
      <c r="N53" s="4"/>
    </row>
    <row r="54" customFormat="false" ht="15" hidden="false" customHeight="false" outlineLevel="0" collapsed="false">
      <c r="A54" s="6" t="s">
        <v>265</v>
      </c>
      <c r="B54" s="6" t="s">
        <v>261</v>
      </c>
      <c r="C54" s="6" t="s">
        <v>133</v>
      </c>
      <c r="D54" s="6" t="s">
        <v>19</v>
      </c>
      <c r="E54" s="6" t="s">
        <v>36</v>
      </c>
      <c r="F54" s="6" t="s">
        <v>266</v>
      </c>
      <c r="G54" s="6" t="s">
        <v>38</v>
      </c>
      <c r="H54" s="6" t="s">
        <v>225</v>
      </c>
      <c r="I54" s="6" t="s">
        <v>32</v>
      </c>
      <c r="J54" s="6" t="s">
        <v>264</v>
      </c>
      <c r="K54" s="7"/>
      <c r="L54" s="7" t="s">
        <v>26</v>
      </c>
      <c r="M54" s="6" t="s">
        <v>27</v>
      </c>
      <c r="N54" s="6"/>
    </row>
    <row r="55" customFormat="false" ht="23.85" hidden="false" customHeight="false" outlineLevel="0" collapsed="false">
      <c r="A55" s="4" t="s">
        <v>267</v>
      </c>
      <c r="B55" s="4" t="s">
        <v>261</v>
      </c>
      <c r="C55" s="4" t="s">
        <v>268</v>
      </c>
      <c r="D55" s="4" t="s">
        <v>19</v>
      </c>
      <c r="E55" s="4" t="s">
        <v>20</v>
      </c>
      <c r="F55" s="4" t="s">
        <v>263</v>
      </c>
      <c r="G55" s="4" t="s">
        <v>38</v>
      </c>
      <c r="H55" s="4" t="s">
        <v>269</v>
      </c>
      <c r="I55" s="4" t="s">
        <v>24</v>
      </c>
      <c r="J55" s="4" t="s">
        <v>270</v>
      </c>
      <c r="K55" s="5"/>
      <c r="L55" s="5" t="s">
        <v>26</v>
      </c>
      <c r="M55" s="4" t="s">
        <v>27</v>
      </c>
      <c r="N55" s="4"/>
    </row>
    <row r="56" customFormat="false" ht="23.85" hidden="false" customHeight="false" outlineLevel="0" collapsed="false">
      <c r="A56" s="6" t="s">
        <v>271</v>
      </c>
      <c r="B56" s="6" t="s">
        <v>261</v>
      </c>
      <c r="C56" s="6" t="s">
        <v>272</v>
      </c>
      <c r="D56" s="6" t="s">
        <v>19</v>
      </c>
      <c r="E56" s="6" t="s">
        <v>20</v>
      </c>
      <c r="F56" s="6" t="s">
        <v>266</v>
      </c>
      <c r="G56" s="6" t="s">
        <v>38</v>
      </c>
      <c r="H56" s="6" t="s">
        <v>273</v>
      </c>
      <c r="I56" s="6" t="s">
        <v>24</v>
      </c>
      <c r="J56" s="6" t="s">
        <v>274</v>
      </c>
      <c r="K56" s="7"/>
      <c r="L56" s="7" t="s">
        <v>26</v>
      </c>
      <c r="M56" s="6" t="s">
        <v>27</v>
      </c>
      <c r="N56" s="6"/>
    </row>
    <row r="57" customFormat="false" ht="15" hidden="false" customHeight="false" outlineLevel="0" collapsed="false">
      <c r="A57" s="4" t="s">
        <v>275</v>
      </c>
      <c r="B57" s="4" t="s">
        <v>261</v>
      </c>
      <c r="C57" s="4" t="s">
        <v>276</v>
      </c>
      <c r="D57" s="4" t="s">
        <v>19</v>
      </c>
      <c r="E57" s="4" t="s">
        <v>106</v>
      </c>
      <c r="F57" s="4" t="s">
        <v>277</v>
      </c>
      <c r="G57" s="4" t="s">
        <v>38</v>
      </c>
      <c r="H57" s="4" t="s">
        <v>278</v>
      </c>
      <c r="I57" s="4" t="s">
        <v>32</v>
      </c>
      <c r="J57" s="4" t="s">
        <v>279</v>
      </c>
      <c r="K57" s="5"/>
      <c r="L57" s="5" t="s">
        <v>26</v>
      </c>
      <c r="M57" s="4" t="s">
        <v>80</v>
      </c>
      <c r="N57" s="4"/>
    </row>
    <row r="58" customFormat="false" ht="15" hidden="false" customHeight="false" outlineLevel="0" collapsed="false">
      <c r="A58" s="6" t="s">
        <v>280</v>
      </c>
      <c r="B58" s="6" t="s">
        <v>261</v>
      </c>
      <c r="C58" s="6" t="s">
        <v>281</v>
      </c>
      <c r="D58" s="6" t="s">
        <v>19</v>
      </c>
      <c r="E58" s="6" t="s">
        <v>155</v>
      </c>
      <c r="F58" s="6" t="s">
        <v>277</v>
      </c>
      <c r="G58" s="6" t="s">
        <v>38</v>
      </c>
      <c r="H58" s="6" t="s">
        <v>147</v>
      </c>
      <c r="I58" s="6" t="s">
        <v>156</v>
      </c>
      <c r="J58" s="6" t="s">
        <v>282</v>
      </c>
      <c r="K58" s="7"/>
      <c r="L58" s="7" t="s">
        <v>26</v>
      </c>
      <c r="M58" s="6" t="s">
        <v>80</v>
      </c>
      <c r="N58" s="6"/>
    </row>
    <row r="59" customFormat="false" ht="15" hidden="false" customHeight="false" outlineLevel="0" collapsed="false">
      <c r="A59" s="4" t="s">
        <v>283</v>
      </c>
      <c r="B59" s="4" t="s">
        <v>284</v>
      </c>
      <c r="C59" s="4" t="s">
        <v>285</v>
      </c>
      <c r="D59" s="4" t="s">
        <v>19</v>
      </c>
      <c r="E59" s="4" t="s">
        <v>20</v>
      </c>
      <c r="F59" s="4" t="s">
        <v>286</v>
      </c>
      <c r="G59" s="4" t="s">
        <v>38</v>
      </c>
      <c r="H59" s="4" t="s">
        <v>287</v>
      </c>
      <c r="I59" s="4" t="s">
        <v>24</v>
      </c>
      <c r="J59" s="4" t="s">
        <v>288</v>
      </c>
      <c r="K59" s="5"/>
      <c r="L59" s="5" t="s">
        <v>26</v>
      </c>
      <c r="M59" s="4" t="s">
        <v>27</v>
      </c>
      <c r="N59" s="4"/>
    </row>
    <row r="60" customFormat="false" ht="15" hidden="false" customHeight="false" outlineLevel="0" collapsed="false">
      <c r="A60" s="6" t="s">
        <v>289</v>
      </c>
      <c r="B60" s="6" t="s">
        <v>284</v>
      </c>
      <c r="C60" s="6" t="s">
        <v>290</v>
      </c>
      <c r="D60" s="6" t="s">
        <v>19</v>
      </c>
      <c r="E60" s="6" t="s">
        <v>36</v>
      </c>
      <c r="F60" s="6" t="s">
        <v>291</v>
      </c>
      <c r="G60" s="6" t="s">
        <v>38</v>
      </c>
      <c r="H60" s="6" t="s">
        <v>292</v>
      </c>
      <c r="I60" s="6" t="s">
        <v>32</v>
      </c>
      <c r="J60" s="6" t="s">
        <v>293</v>
      </c>
      <c r="K60" s="7"/>
      <c r="L60" s="7" t="s">
        <v>26</v>
      </c>
      <c r="M60" s="6" t="s">
        <v>27</v>
      </c>
      <c r="N60" s="6"/>
    </row>
    <row r="61" customFormat="false" ht="15" hidden="false" customHeight="false" outlineLevel="0" collapsed="false">
      <c r="A61" s="4" t="s">
        <v>294</v>
      </c>
      <c r="B61" s="4" t="s">
        <v>284</v>
      </c>
      <c r="C61" s="4" t="s">
        <v>295</v>
      </c>
      <c r="D61" s="4" t="s">
        <v>19</v>
      </c>
      <c r="E61" s="4" t="s">
        <v>36</v>
      </c>
      <c r="F61" s="4" t="s">
        <v>296</v>
      </c>
      <c r="G61" s="4" t="s">
        <v>38</v>
      </c>
      <c r="H61" s="4" t="s">
        <v>225</v>
      </c>
      <c r="I61" s="4" t="s">
        <v>32</v>
      </c>
      <c r="J61" s="4" t="s">
        <v>297</v>
      </c>
      <c r="K61" s="5"/>
      <c r="L61" s="5" t="s">
        <v>26</v>
      </c>
      <c r="M61" s="4" t="s">
        <v>27</v>
      </c>
      <c r="N61" s="4"/>
    </row>
    <row r="62" customFormat="false" ht="15" hidden="false" customHeight="false" outlineLevel="0" collapsed="false">
      <c r="A62" s="6" t="s">
        <v>298</v>
      </c>
      <c r="B62" s="6" t="s">
        <v>284</v>
      </c>
      <c r="C62" s="6" t="s">
        <v>299</v>
      </c>
      <c r="D62" s="6" t="s">
        <v>19</v>
      </c>
      <c r="E62" s="6" t="s">
        <v>106</v>
      </c>
      <c r="F62" s="6" t="s">
        <v>300</v>
      </c>
      <c r="G62" s="6" t="s">
        <v>38</v>
      </c>
      <c r="H62" s="6" t="s">
        <v>301</v>
      </c>
      <c r="I62" s="6" t="s">
        <v>32</v>
      </c>
      <c r="J62" s="6" t="s">
        <v>302</v>
      </c>
      <c r="K62" s="7"/>
      <c r="L62" s="7" t="s">
        <v>26</v>
      </c>
      <c r="M62" s="6" t="s">
        <v>27</v>
      </c>
      <c r="N62" s="6"/>
    </row>
    <row r="63" customFormat="false" ht="15" hidden="false" customHeight="false" outlineLevel="0" collapsed="false">
      <c r="A63" s="4" t="s">
        <v>303</v>
      </c>
      <c r="B63" s="4" t="s">
        <v>284</v>
      </c>
      <c r="C63" s="4" t="s">
        <v>304</v>
      </c>
      <c r="D63" s="4" t="s">
        <v>19</v>
      </c>
      <c r="E63" s="4" t="s">
        <v>155</v>
      </c>
      <c r="F63" s="4" t="s">
        <v>300</v>
      </c>
      <c r="G63" s="4" t="s">
        <v>38</v>
      </c>
      <c r="H63" s="4" t="s">
        <v>147</v>
      </c>
      <c r="I63" s="4" t="s">
        <v>156</v>
      </c>
      <c r="J63" s="4" t="s">
        <v>305</v>
      </c>
      <c r="K63" s="5"/>
      <c r="L63" s="5" t="s">
        <v>26</v>
      </c>
      <c r="M63" s="4" t="s">
        <v>80</v>
      </c>
      <c r="N63" s="4"/>
    </row>
    <row r="64" customFormat="false" ht="15" hidden="false" customHeight="false" outlineLevel="0" collapsed="false">
      <c r="A64" s="6" t="s">
        <v>306</v>
      </c>
      <c r="B64" s="6" t="s">
        <v>307</v>
      </c>
      <c r="C64" s="6" t="s">
        <v>308</v>
      </c>
      <c r="D64" s="6" t="s">
        <v>19</v>
      </c>
      <c r="E64" s="6" t="s">
        <v>20</v>
      </c>
      <c r="F64" s="6" t="s">
        <v>309</v>
      </c>
      <c r="G64" s="6" t="s">
        <v>38</v>
      </c>
      <c r="H64" s="6" t="s">
        <v>310</v>
      </c>
      <c r="I64" s="6" t="s">
        <v>24</v>
      </c>
      <c r="J64" s="6" t="s">
        <v>311</v>
      </c>
      <c r="K64" s="7"/>
      <c r="L64" s="7" t="s">
        <v>26</v>
      </c>
      <c r="M64" s="6" t="s">
        <v>27</v>
      </c>
      <c r="N64" s="6"/>
    </row>
    <row r="65" customFormat="false" ht="15" hidden="false" customHeight="false" outlineLevel="0" collapsed="false">
      <c r="A65" s="4" t="s">
        <v>312</v>
      </c>
      <c r="B65" s="4" t="s">
        <v>307</v>
      </c>
      <c r="C65" s="4" t="s">
        <v>313</v>
      </c>
      <c r="D65" s="4" t="s">
        <v>19</v>
      </c>
      <c r="E65" s="4" t="s">
        <v>36</v>
      </c>
      <c r="F65" s="4" t="s">
        <v>309</v>
      </c>
      <c r="G65" s="4" t="s">
        <v>38</v>
      </c>
      <c r="H65" s="4" t="s">
        <v>39</v>
      </c>
      <c r="I65" s="4" t="s">
        <v>32</v>
      </c>
      <c r="J65" s="4" t="s">
        <v>314</v>
      </c>
      <c r="K65" s="5"/>
      <c r="L65" s="5" t="s">
        <v>26</v>
      </c>
      <c r="M65" s="4" t="s">
        <v>27</v>
      </c>
      <c r="N65" s="4" t="s">
        <v>236</v>
      </c>
    </row>
    <row r="66" customFormat="false" ht="15" hidden="false" customHeight="false" outlineLevel="0" collapsed="false">
      <c r="A66" s="6" t="s">
        <v>315</v>
      </c>
      <c r="B66" s="6" t="s">
        <v>307</v>
      </c>
      <c r="C66" s="6" t="s">
        <v>316</v>
      </c>
      <c r="D66" s="6" t="s">
        <v>19</v>
      </c>
      <c r="E66" s="6" t="s">
        <v>36</v>
      </c>
      <c r="F66" s="6" t="s">
        <v>317</v>
      </c>
      <c r="G66" s="6" t="s">
        <v>38</v>
      </c>
      <c r="H66" s="6" t="s">
        <v>318</v>
      </c>
      <c r="I66" s="6" t="s">
        <v>32</v>
      </c>
      <c r="J66" s="6" t="s">
        <v>319</v>
      </c>
      <c r="K66" s="7"/>
      <c r="L66" s="7" t="s">
        <v>26</v>
      </c>
      <c r="M66" s="6" t="s">
        <v>27</v>
      </c>
      <c r="N66" s="6" t="s">
        <v>236</v>
      </c>
    </row>
    <row r="67" customFormat="false" ht="15" hidden="false" customHeight="false" outlineLevel="0" collapsed="false">
      <c r="A67" s="4" t="s">
        <v>320</v>
      </c>
      <c r="B67" s="4" t="s">
        <v>307</v>
      </c>
      <c r="C67" s="4" t="s">
        <v>321</v>
      </c>
      <c r="D67" s="4" t="s">
        <v>19</v>
      </c>
      <c r="E67" s="4" t="s">
        <v>155</v>
      </c>
      <c r="F67" s="4" t="s">
        <v>322</v>
      </c>
      <c r="G67" s="4" t="s">
        <v>38</v>
      </c>
      <c r="H67" s="4" t="s">
        <v>147</v>
      </c>
      <c r="I67" s="4" t="s">
        <v>156</v>
      </c>
      <c r="J67" s="4" t="s">
        <v>323</v>
      </c>
      <c r="K67" s="5"/>
      <c r="L67" s="5" t="s">
        <v>26</v>
      </c>
      <c r="M67" s="4" t="s">
        <v>27</v>
      </c>
      <c r="N67" s="4"/>
    </row>
    <row r="68" customFormat="false" ht="15" hidden="false" customHeight="false" outlineLevel="0" collapsed="false">
      <c r="A68" s="6" t="s">
        <v>324</v>
      </c>
      <c r="B68" s="6" t="s">
        <v>307</v>
      </c>
      <c r="C68" s="6" t="s">
        <v>325</v>
      </c>
      <c r="D68" s="6" t="s">
        <v>19</v>
      </c>
      <c r="E68" s="6" t="s">
        <v>36</v>
      </c>
      <c r="F68" s="6" t="s">
        <v>322</v>
      </c>
      <c r="G68" s="6" t="s">
        <v>38</v>
      </c>
      <c r="H68" s="6" t="s">
        <v>147</v>
      </c>
      <c r="I68" s="6" t="s">
        <v>32</v>
      </c>
      <c r="J68" s="6" t="s">
        <v>326</v>
      </c>
      <c r="K68" s="7"/>
      <c r="L68" s="7" t="s">
        <v>26</v>
      </c>
      <c r="M68" s="6" t="s">
        <v>80</v>
      </c>
      <c r="N68" s="6"/>
    </row>
    <row r="69" customFormat="false" ht="15" hidden="false" customHeight="false" outlineLevel="0" collapsed="false">
      <c r="A69" s="4" t="s">
        <v>327</v>
      </c>
      <c r="B69" s="4" t="s">
        <v>307</v>
      </c>
      <c r="C69" s="4" t="s">
        <v>328</v>
      </c>
      <c r="D69" s="4" t="s">
        <v>19</v>
      </c>
      <c r="E69" s="4" t="s">
        <v>106</v>
      </c>
      <c r="F69" s="4" t="s">
        <v>322</v>
      </c>
      <c r="G69" s="4" t="s">
        <v>38</v>
      </c>
      <c r="H69" s="4" t="s">
        <v>310</v>
      </c>
      <c r="I69" s="4" t="s">
        <v>32</v>
      </c>
      <c r="J69" s="4" t="s">
        <v>329</v>
      </c>
      <c r="K69" s="5"/>
      <c r="L69" s="5" t="s">
        <v>26</v>
      </c>
      <c r="M69" s="4" t="s">
        <v>80</v>
      </c>
      <c r="N69" s="4"/>
    </row>
    <row r="70" customFormat="false" ht="15" hidden="false" customHeight="false" outlineLevel="0" collapsed="false">
      <c r="A70" s="6" t="s">
        <v>330</v>
      </c>
      <c r="B70" s="6" t="s">
        <v>331</v>
      </c>
      <c r="C70" s="6" t="s">
        <v>332</v>
      </c>
      <c r="D70" s="6" t="s">
        <v>19</v>
      </c>
      <c r="E70" s="6" t="s">
        <v>20</v>
      </c>
      <c r="F70" s="6" t="s">
        <v>333</v>
      </c>
      <c r="G70" s="6" t="s">
        <v>178</v>
      </c>
      <c r="H70" s="6" t="s">
        <v>334</v>
      </c>
      <c r="I70" s="6" t="s">
        <v>24</v>
      </c>
      <c r="J70" s="6" t="s">
        <v>335</v>
      </c>
      <c r="K70" s="7"/>
      <c r="L70" s="7" t="s">
        <v>26</v>
      </c>
      <c r="M70" s="6" t="s">
        <v>27</v>
      </c>
      <c r="N70" s="6"/>
    </row>
    <row r="71" customFormat="false" ht="15" hidden="false" customHeight="false" outlineLevel="0" collapsed="false">
      <c r="A71" s="4" t="s">
        <v>336</v>
      </c>
      <c r="B71" s="4" t="s">
        <v>331</v>
      </c>
      <c r="C71" s="4" t="s">
        <v>337</v>
      </c>
      <c r="D71" s="4" t="s">
        <v>19</v>
      </c>
      <c r="E71" s="4" t="s">
        <v>36</v>
      </c>
      <c r="F71" s="4" t="s">
        <v>338</v>
      </c>
      <c r="G71" s="4" t="s">
        <v>178</v>
      </c>
      <c r="H71" s="4" t="s">
        <v>230</v>
      </c>
      <c r="I71" s="4" t="s">
        <v>32</v>
      </c>
      <c r="J71" s="4" t="s">
        <v>339</v>
      </c>
      <c r="K71" s="5"/>
      <c r="L71" s="5" t="s">
        <v>26</v>
      </c>
      <c r="M71" s="4" t="s">
        <v>27</v>
      </c>
      <c r="N71" s="4"/>
    </row>
    <row r="72" customFormat="false" ht="15" hidden="false" customHeight="false" outlineLevel="0" collapsed="false">
      <c r="A72" s="6" t="s">
        <v>340</v>
      </c>
      <c r="B72" s="6" t="s">
        <v>331</v>
      </c>
      <c r="C72" s="6" t="s">
        <v>341</v>
      </c>
      <c r="D72" s="6" t="s">
        <v>19</v>
      </c>
      <c r="E72" s="6" t="s">
        <v>36</v>
      </c>
      <c r="F72" s="6" t="s">
        <v>342</v>
      </c>
      <c r="G72" s="6" t="s">
        <v>178</v>
      </c>
      <c r="H72" s="6" t="s">
        <v>225</v>
      </c>
      <c r="I72" s="6" t="s">
        <v>32</v>
      </c>
      <c r="J72" s="6" t="s">
        <v>339</v>
      </c>
      <c r="K72" s="7"/>
      <c r="L72" s="7" t="s">
        <v>26</v>
      </c>
      <c r="M72" s="6" t="s">
        <v>27</v>
      </c>
      <c r="N72" s="6"/>
    </row>
    <row r="73" customFormat="false" ht="15" hidden="false" customHeight="false" outlineLevel="0" collapsed="false">
      <c r="A73" s="4" t="s">
        <v>343</v>
      </c>
      <c r="B73" s="4" t="s">
        <v>331</v>
      </c>
      <c r="C73" s="4" t="s">
        <v>344</v>
      </c>
      <c r="D73" s="4" t="s">
        <v>19</v>
      </c>
      <c r="E73" s="4" t="s">
        <v>36</v>
      </c>
      <c r="F73" s="4" t="s">
        <v>345</v>
      </c>
      <c r="G73" s="4" t="s">
        <v>178</v>
      </c>
      <c r="H73" s="4" t="s">
        <v>147</v>
      </c>
      <c r="I73" s="4" t="s">
        <v>32</v>
      </c>
      <c r="J73" s="4" t="s">
        <v>346</v>
      </c>
      <c r="K73" s="5"/>
      <c r="L73" s="5" t="s">
        <v>26</v>
      </c>
      <c r="M73" s="4" t="s">
        <v>27</v>
      </c>
      <c r="N73" s="4"/>
    </row>
    <row r="74" customFormat="false" ht="15" hidden="false" customHeight="false" outlineLevel="0" collapsed="false">
      <c r="A74" s="6" t="s">
        <v>347</v>
      </c>
      <c r="B74" s="6" t="s">
        <v>331</v>
      </c>
      <c r="C74" s="6" t="s">
        <v>348</v>
      </c>
      <c r="D74" s="6" t="s">
        <v>19</v>
      </c>
      <c r="E74" s="6" t="s">
        <v>36</v>
      </c>
      <c r="F74" s="6" t="s">
        <v>333</v>
      </c>
      <c r="G74" s="6" t="s">
        <v>178</v>
      </c>
      <c r="H74" s="6" t="s">
        <v>39</v>
      </c>
      <c r="I74" s="6" t="s">
        <v>32</v>
      </c>
      <c r="J74" s="6" t="s">
        <v>339</v>
      </c>
      <c r="K74" s="7"/>
      <c r="L74" s="7" t="s">
        <v>26</v>
      </c>
      <c r="M74" s="6" t="s">
        <v>27</v>
      </c>
      <c r="N74" s="6"/>
    </row>
    <row r="75" customFormat="false" ht="23.85" hidden="false" customHeight="false" outlineLevel="0" collapsed="false">
      <c r="A75" s="4" t="s">
        <v>349</v>
      </c>
      <c r="B75" s="4" t="s">
        <v>331</v>
      </c>
      <c r="C75" s="4" t="s">
        <v>350</v>
      </c>
      <c r="D75" s="4" t="s">
        <v>19</v>
      </c>
      <c r="E75" s="4" t="s">
        <v>36</v>
      </c>
      <c r="F75" s="4" t="s">
        <v>351</v>
      </c>
      <c r="G75" s="4" t="s">
        <v>178</v>
      </c>
      <c r="H75" s="4" t="s">
        <v>352</v>
      </c>
      <c r="I75" s="4" t="s">
        <v>32</v>
      </c>
      <c r="J75" s="4" t="s">
        <v>353</v>
      </c>
      <c r="K75" s="5"/>
      <c r="L75" s="5" t="s">
        <v>26</v>
      </c>
      <c r="M75" s="4" t="s">
        <v>27</v>
      </c>
      <c r="N75" s="4" t="s">
        <v>354</v>
      </c>
    </row>
    <row r="76" customFormat="false" ht="15" hidden="false" customHeight="false" outlineLevel="0" collapsed="false">
      <c r="A76" s="6" t="s">
        <v>355</v>
      </c>
      <c r="B76" s="6" t="s">
        <v>331</v>
      </c>
      <c r="C76" s="6" t="s">
        <v>356</v>
      </c>
      <c r="D76" s="6" t="s">
        <v>49</v>
      </c>
      <c r="E76" s="6" t="s">
        <v>20</v>
      </c>
      <c r="F76" s="6" t="s">
        <v>333</v>
      </c>
      <c r="G76" s="6" t="s">
        <v>178</v>
      </c>
      <c r="H76" s="6" t="s">
        <v>357</v>
      </c>
      <c r="I76" s="6" t="s">
        <v>57</v>
      </c>
      <c r="J76" s="6" t="s">
        <v>358</v>
      </c>
      <c r="K76" s="7"/>
      <c r="L76" s="7" t="s">
        <v>26</v>
      </c>
      <c r="M76" s="6" t="s">
        <v>53</v>
      </c>
      <c r="N76" s="6"/>
    </row>
    <row r="77" customFormat="false" ht="23.85" hidden="false" customHeight="false" outlineLevel="0" collapsed="false">
      <c r="A77" s="4" t="s">
        <v>359</v>
      </c>
      <c r="B77" s="4" t="s">
        <v>360</v>
      </c>
      <c r="C77" s="4" t="s">
        <v>361</v>
      </c>
      <c r="D77" s="4" t="s">
        <v>19</v>
      </c>
      <c r="E77" s="4" t="s">
        <v>20</v>
      </c>
      <c r="F77" s="4" t="s">
        <v>362</v>
      </c>
      <c r="G77" s="4" t="s">
        <v>178</v>
      </c>
      <c r="H77" s="4" t="s">
        <v>225</v>
      </c>
      <c r="I77" s="4" t="s">
        <v>24</v>
      </c>
      <c r="J77" s="4" t="s">
        <v>363</v>
      </c>
      <c r="K77" s="5"/>
      <c r="L77" s="5" t="s">
        <v>26</v>
      </c>
      <c r="M77" s="4" t="s">
        <v>27</v>
      </c>
      <c r="N77" s="4" t="s">
        <v>364</v>
      </c>
    </row>
    <row r="78" customFormat="false" ht="15" hidden="false" customHeight="false" outlineLevel="0" collapsed="false">
      <c r="A78" s="6" t="s">
        <v>365</v>
      </c>
      <c r="B78" s="6" t="s">
        <v>360</v>
      </c>
      <c r="C78" s="6" t="s">
        <v>366</v>
      </c>
      <c r="D78" s="6" t="s">
        <v>19</v>
      </c>
      <c r="E78" s="6" t="s">
        <v>36</v>
      </c>
      <c r="F78" s="6" t="s">
        <v>367</v>
      </c>
      <c r="G78" s="6" t="s">
        <v>178</v>
      </c>
      <c r="H78" s="6" t="s">
        <v>39</v>
      </c>
      <c r="I78" s="6" t="s">
        <v>32</v>
      </c>
      <c r="J78" s="6" t="s">
        <v>368</v>
      </c>
      <c r="K78" s="7"/>
      <c r="L78" s="7" t="s">
        <v>26</v>
      </c>
      <c r="M78" s="6" t="s">
        <v>27</v>
      </c>
      <c r="N78" s="6"/>
    </row>
    <row r="79" customFormat="false" ht="15" hidden="false" customHeight="false" outlineLevel="0" collapsed="false">
      <c r="A79" s="4" t="s">
        <v>369</v>
      </c>
      <c r="B79" s="4" t="s">
        <v>360</v>
      </c>
      <c r="C79" s="4" t="s">
        <v>370</v>
      </c>
      <c r="D79" s="4" t="s">
        <v>19</v>
      </c>
      <c r="E79" s="4" t="s">
        <v>194</v>
      </c>
      <c r="F79" s="4" t="s">
        <v>371</v>
      </c>
      <c r="G79" s="4" t="s">
        <v>178</v>
      </c>
      <c r="H79" s="4" t="s">
        <v>39</v>
      </c>
      <c r="I79" s="4" t="s">
        <v>32</v>
      </c>
      <c r="J79" s="4" t="s">
        <v>372</v>
      </c>
      <c r="K79" s="5"/>
      <c r="L79" s="5" t="s">
        <v>26</v>
      </c>
      <c r="M79" s="4" t="s">
        <v>27</v>
      </c>
      <c r="N79" s="4"/>
    </row>
    <row r="80" customFormat="false" ht="15" hidden="false" customHeight="false" outlineLevel="0" collapsed="false">
      <c r="A80" s="6" t="s">
        <v>373</v>
      </c>
      <c r="B80" s="6" t="s">
        <v>360</v>
      </c>
      <c r="C80" s="6" t="s">
        <v>374</v>
      </c>
      <c r="D80" s="6" t="s">
        <v>19</v>
      </c>
      <c r="E80" s="6" t="s">
        <v>36</v>
      </c>
      <c r="F80" s="6" t="s">
        <v>375</v>
      </c>
      <c r="G80" s="6" t="s">
        <v>178</v>
      </c>
      <c r="H80" s="6" t="s">
        <v>230</v>
      </c>
      <c r="I80" s="6" t="s">
        <v>32</v>
      </c>
      <c r="J80" s="6" t="s">
        <v>376</v>
      </c>
      <c r="K80" s="7"/>
      <c r="L80" s="7" t="s">
        <v>26</v>
      </c>
      <c r="M80" s="6" t="s">
        <v>27</v>
      </c>
      <c r="N80" s="6"/>
    </row>
    <row r="81" customFormat="false" ht="15" hidden="false" customHeight="false" outlineLevel="0" collapsed="false">
      <c r="A81" s="4" t="s">
        <v>377</v>
      </c>
      <c r="B81" s="4" t="s">
        <v>360</v>
      </c>
      <c r="C81" s="4" t="s">
        <v>378</v>
      </c>
      <c r="D81" s="4" t="s">
        <v>19</v>
      </c>
      <c r="E81" s="4" t="s">
        <v>36</v>
      </c>
      <c r="F81" s="4" t="s">
        <v>379</v>
      </c>
      <c r="G81" s="4" t="s">
        <v>178</v>
      </c>
      <c r="H81" s="4" t="s">
        <v>225</v>
      </c>
      <c r="I81" s="4" t="s">
        <v>32</v>
      </c>
      <c r="J81" s="4" t="s">
        <v>376</v>
      </c>
      <c r="K81" s="5"/>
      <c r="L81" s="5" t="s">
        <v>26</v>
      </c>
      <c r="M81" s="4" t="s">
        <v>27</v>
      </c>
      <c r="N81" s="4"/>
    </row>
    <row r="82" customFormat="false" ht="15" hidden="false" customHeight="false" outlineLevel="0" collapsed="false">
      <c r="A82" s="6" t="s">
        <v>380</v>
      </c>
      <c r="B82" s="6" t="s">
        <v>360</v>
      </c>
      <c r="C82" s="6" t="s">
        <v>381</v>
      </c>
      <c r="D82" s="6" t="s">
        <v>19</v>
      </c>
      <c r="E82" s="6" t="s">
        <v>36</v>
      </c>
      <c r="F82" s="6" t="s">
        <v>382</v>
      </c>
      <c r="G82" s="6" t="s">
        <v>178</v>
      </c>
      <c r="H82" s="6" t="s">
        <v>383</v>
      </c>
      <c r="I82" s="6" t="s">
        <v>32</v>
      </c>
      <c r="J82" s="6" t="s">
        <v>384</v>
      </c>
      <c r="K82" s="7"/>
      <c r="L82" s="7" t="s">
        <v>26</v>
      </c>
      <c r="M82" s="6" t="s">
        <v>27</v>
      </c>
      <c r="N82" s="6"/>
    </row>
    <row r="83" customFormat="false" ht="15" hidden="false" customHeight="false" outlineLevel="0" collapsed="false">
      <c r="A83" s="4" t="s">
        <v>385</v>
      </c>
      <c r="B83" s="4" t="s">
        <v>360</v>
      </c>
      <c r="C83" s="4" t="s">
        <v>386</v>
      </c>
      <c r="D83" s="4" t="s">
        <v>49</v>
      </c>
      <c r="E83" s="4" t="s">
        <v>20</v>
      </c>
      <c r="F83" s="4" t="s">
        <v>362</v>
      </c>
      <c r="G83" s="4" t="s">
        <v>178</v>
      </c>
      <c r="H83" s="4" t="s">
        <v>387</v>
      </c>
      <c r="I83" s="4" t="s">
        <v>57</v>
      </c>
      <c r="J83" s="4" t="s">
        <v>89</v>
      </c>
      <c r="K83" s="5"/>
      <c r="L83" s="5" t="s">
        <v>26</v>
      </c>
      <c r="M83" s="4" t="s">
        <v>53</v>
      </c>
      <c r="N83" s="4"/>
    </row>
    <row r="84" customFormat="false" ht="15" hidden="false" customHeight="false" outlineLevel="0" collapsed="false">
      <c r="A84" s="6" t="s">
        <v>388</v>
      </c>
      <c r="B84" s="6" t="s">
        <v>389</v>
      </c>
      <c r="C84" s="6" t="s">
        <v>390</v>
      </c>
      <c r="D84" s="6" t="s">
        <v>19</v>
      </c>
      <c r="E84" s="6" t="s">
        <v>36</v>
      </c>
      <c r="F84" s="6" t="s">
        <v>391</v>
      </c>
      <c r="G84" s="6" t="s">
        <v>44</v>
      </c>
      <c r="H84" s="6" t="s">
        <v>39</v>
      </c>
      <c r="I84" s="6" t="s">
        <v>32</v>
      </c>
      <c r="J84" s="6" t="s">
        <v>392</v>
      </c>
      <c r="K84" s="7"/>
      <c r="L84" s="7" t="s">
        <v>26</v>
      </c>
      <c r="M84" s="6" t="s">
        <v>27</v>
      </c>
      <c r="N84" s="6" t="s">
        <v>393</v>
      </c>
    </row>
    <row r="85" customFormat="false" ht="15" hidden="false" customHeight="false" outlineLevel="0" collapsed="false">
      <c r="A85" s="4" t="s">
        <v>394</v>
      </c>
      <c r="B85" s="4" t="s">
        <v>389</v>
      </c>
      <c r="C85" s="4" t="s">
        <v>395</v>
      </c>
      <c r="D85" s="4" t="s">
        <v>19</v>
      </c>
      <c r="E85" s="4" t="s">
        <v>36</v>
      </c>
      <c r="F85" s="4" t="s">
        <v>396</v>
      </c>
      <c r="G85" s="4" t="s">
        <v>44</v>
      </c>
      <c r="H85" s="4" t="s">
        <v>39</v>
      </c>
      <c r="I85" s="4" t="s">
        <v>32</v>
      </c>
      <c r="J85" s="4" t="s">
        <v>397</v>
      </c>
      <c r="K85" s="5"/>
      <c r="L85" s="5" t="s">
        <v>26</v>
      </c>
      <c r="M85" s="4" t="s">
        <v>27</v>
      </c>
      <c r="N85" s="4" t="s">
        <v>393</v>
      </c>
    </row>
    <row r="86" customFormat="false" ht="15" hidden="false" customHeight="false" outlineLevel="0" collapsed="false">
      <c r="A86" s="6" t="s">
        <v>398</v>
      </c>
      <c r="B86" s="6" t="s">
        <v>389</v>
      </c>
      <c r="C86" s="6" t="s">
        <v>399</v>
      </c>
      <c r="D86" s="6" t="s">
        <v>19</v>
      </c>
      <c r="E86" s="6" t="s">
        <v>36</v>
      </c>
      <c r="F86" s="6" t="s">
        <v>400</v>
      </c>
      <c r="G86" s="6" t="s">
        <v>44</v>
      </c>
      <c r="H86" s="6" t="s">
        <v>39</v>
      </c>
      <c r="I86" s="6" t="s">
        <v>32</v>
      </c>
      <c r="J86" s="6" t="s">
        <v>401</v>
      </c>
      <c r="K86" s="7"/>
      <c r="L86" s="7" t="s">
        <v>26</v>
      </c>
      <c r="M86" s="6" t="s">
        <v>27</v>
      </c>
      <c r="N86" s="6" t="s">
        <v>393</v>
      </c>
    </row>
    <row r="87" customFormat="false" ht="15" hidden="false" customHeight="false" outlineLevel="0" collapsed="false">
      <c r="A87" s="4" t="s">
        <v>402</v>
      </c>
      <c r="B87" s="4" t="s">
        <v>389</v>
      </c>
      <c r="C87" s="4" t="s">
        <v>403</v>
      </c>
      <c r="D87" s="4" t="s">
        <v>49</v>
      </c>
      <c r="E87" s="4" t="s">
        <v>36</v>
      </c>
      <c r="F87" s="4" t="s">
        <v>391</v>
      </c>
      <c r="G87" s="4" t="s">
        <v>178</v>
      </c>
      <c r="H87" s="4" t="s">
        <v>39</v>
      </c>
      <c r="I87" s="4" t="s">
        <v>180</v>
      </c>
      <c r="J87" s="4" t="s">
        <v>74</v>
      </c>
      <c r="K87" s="5"/>
      <c r="L87" s="5" t="s">
        <v>26</v>
      </c>
      <c r="M87" s="4" t="s">
        <v>53</v>
      </c>
      <c r="N87" s="4"/>
    </row>
    <row r="88" customFormat="false" ht="23.85" hidden="false" customHeight="false" outlineLevel="0" collapsed="false">
      <c r="A88" s="6" t="s">
        <v>404</v>
      </c>
      <c r="B88" s="6" t="s">
        <v>405</v>
      </c>
      <c r="C88" s="6" t="s">
        <v>406</v>
      </c>
      <c r="D88" s="6" t="s">
        <v>19</v>
      </c>
      <c r="E88" s="6" t="s">
        <v>36</v>
      </c>
      <c r="F88" s="6" t="s">
        <v>407</v>
      </c>
      <c r="G88" s="6" t="s">
        <v>135</v>
      </c>
      <c r="H88" s="6" t="s">
        <v>408</v>
      </c>
      <c r="I88" s="6" t="s">
        <v>32</v>
      </c>
      <c r="J88" s="6" t="s">
        <v>409</v>
      </c>
      <c r="K88" s="7"/>
      <c r="L88" s="7" t="s">
        <v>26</v>
      </c>
      <c r="M88" s="6" t="s">
        <v>27</v>
      </c>
      <c r="N88" s="6" t="s">
        <v>410</v>
      </c>
    </row>
    <row r="89" customFormat="false" ht="23.85" hidden="false" customHeight="false" outlineLevel="0" collapsed="false">
      <c r="A89" s="4" t="s">
        <v>411</v>
      </c>
      <c r="B89" s="4" t="s">
        <v>405</v>
      </c>
      <c r="C89" s="4" t="s">
        <v>412</v>
      </c>
      <c r="D89" s="4" t="s">
        <v>19</v>
      </c>
      <c r="E89" s="4" t="s">
        <v>36</v>
      </c>
      <c r="F89" s="4" t="s">
        <v>413</v>
      </c>
      <c r="G89" s="4" t="s">
        <v>135</v>
      </c>
      <c r="H89" s="4" t="s">
        <v>225</v>
      </c>
      <c r="I89" s="4" t="s">
        <v>32</v>
      </c>
      <c r="J89" s="4" t="s">
        <v>414</v>
      </c>
      <c r="K89" s="5"/>
      <c r="L89" s="5" t="s">
        <v>26</v>
      </c>
      <c r="M89" s="4" t="s">
        <v>27</v>
      </c>
      <c r="N89" s="4"/>
    </row>
    <row r="90" customFormat="false" ht="23.85" hidden="false" customHeight="false" outlineLevel="0" collapsed="false">
      <c r="A90" s="6" t="s">
        <v>415</v>
      </c>
      <c r="B90" s="6" t="s">
        <v>405</v>
      </c>
      <c r="C90" s="6" t="s">
        <v>416</v>
      </c>
      <c r="D90" s="6" t="s">
        <v>19</v>
      </c>
      <c r="E90" s="6" t="s">
        <v>36</v>
      </c>
      <c r="F90" s="6" t="s">
        <v>417</v>
      </c>
      <c r="G90" s="6" t="s">
        <v>135</v>
      </c>
      <c r="H90" s="6" t="s">
        <v>225</v>
      </c>
      <c r="I90" s="6" t="s">
        <v>32</v>
      </c>
      <c r="J90" s="6" t="s">
        <v>418</v>
      </c>
      <c r="K90" s="7"/>
      <c r="L90" s="7" t="s">
        <v>26</v>
      </c>
      <c r="M90" s="6" t="s">
        <v>27</v>
      </c>
      <c r="N90" s="6"/>
    </row>
    <row r="91" customFormat="false" ht="23.85" hidden="false" customHeight="false" outlineLevel="0" collapsed="false">
      <c r="A91" s="4" t="s">
        <v>419</v>
      </c>
      <c r="B91" s="4" t="s">
        <v>405</v>
      </c>
      <c r="C91" s="4" t="s">
        <v>420</v>
      </c>
      <c r="D91" s="4" t="s">
        <v>19</v>
      </c>
      <c r="E91" s="4" t="s">
        <v>36</v>
      </c>
      <c r="F91" s="4" t="s">
        <v>421</v>
      </c>
      <c r="G91" s="4" t="s">
        <v>135</v>
      </c>
      <c r="H91" s="4" t="s">
        <v>422</v>
      </c>
      <c r="I91" s="4" t="s">
        <v>32</v>
      </c>
      <c r="J91" s="4" t="s">
        <v>423</v>
      </c>
      <c r="K91" s="5"/>
      <c r="L91" s="5" t="s">
        <v>26</v>
      </c>
      <c r="M91" s="4" t="s">
        <v>27</v>
      </c>
      <c r="N91" s="4"/>
    </row>
    <row r="92" customFormat="false" ht="23.85" hidden="false" customHeight="false" outlineLevel="0" collapsed="false">
      <c r="A92" s="6" t="s">
        <v>424</v>
      </c>
      <c r="B92" s="6" t="s">
        <v>405</v>
      </c>
      <c r="C92" s="6" t="s">
        <v>425</v>
      </c>
      <c r="D92" s="6" t="s">
        <v>19</v>
      </c>
      <c r="E92" s="6" t="s">
        <v>36</v>
      </c>
      <c r="F92" s="6" t="s">
        <v>426</v>
      </c>
      <c r="G92" s="6" t="s">
        <v>135</v>
      </c>
      <c r="H92" s="6" t="s">
        <v>225</v>
      </c>
      <c r="I92" s="6" t="s">
        <v>32</v>
      </c>
      <c r="J92" s="6" t="s">
        <v>427</v>
      </c>
      <c r="K92" s="7"/>
      <c r="L92" s="7" t="s">
        <v>26</v>
      </c>
      <c r="M92" s="6" t="s">
        <v>27</v>
      </c>
      <c r="N92" s="6"/>
    </row>
    <row r="93" customFormat="false" ht="23.85" hidden="false" customHeight="false" outlineLevel="0" collapsed="false">
      <c r="A93" s="4" t="s">
        <v>428</v>
      </c>
      <c r="B93" s="4" t="s">
        <v>405</v>
      </c>
      <c r="C93" s="4" t="s">
        <v>429</v>
      </c>
      <c r="D93" s="4" t="s">
        <v>19</v>
      </c>
      <c r="E93" s="4" t="s">
        <v>36</v>
      </c>
      <c r="F93" s="4" t="s">
        <v>430</v>
      </c>
      <c r="G93" s="4" t="s">
        <v>135</v>
      </c>
      <c r="H93" s="4" t="s">
        <v>422</v>
      </c>
      <c r="I93" s="4" t="s">
        <v>32</v>
      </c>
      <c r="J93" s="4" t="s">
        <v>431</v>
      </c>
      <c r="K93" s="5"/>
      <c r="L93" s="5" t="s">
        <v>26</v>
      </c>
      <c r="M93" s="4" t="s">
        <v>27</v>
      </c>
      <c r="N93" s="4"/>
    </row>
    <row r="94" customFormat="false" ht="15" hidden="false" customHeight="false" outlineLevel="0" collapsed="false">
      <c r="A94" s="6" t="s">
        <v>432</v>
      </c>
      <c r="B94" s="6" t="s">
        <v>433</v>
      </c>
      <c r="C94" s="6" t="s">
        <v>434</v>
      </c>
      <c r="D94" s="6" t="s">
        <v>19</v>
      </c>
      <c r="E94" s="6" t="s">
        <v>36</v>
      </c>
      <c r="F94" s="6" t="s">
        <v>435</v>
      </c>
      <c r="G94" s="6" t="s">
        <v>38</v>
      </c>
      <c r="H94" s="6" t="s">
        <v>436</v>
      </c>
      <c r="I94" s="6" t="s">
        <v>32</v>
      </c>
      <c r="J94" s="6" t="s">
        <v>437</v>
      </c>
      <c r="K94" s="7"/>
      <c r="L94" s="7" t="s">
        <v>26</v>
      </c>
      <c r="M94" s="6" t="s">
        <v>80</v>
      </c>
      <c r="N94" s="6"/>
    </row>
    <row r="95" customFormat="false" ht="15" hidden="false" customHeight="false" outlineLevel="0" collapsed="false">
      <c r="A95" s="4" t="s">
        <v>438</v>
      </c>
      <c r="B95" s="4" t="s">
        <v>433</v>
      </c>
      <c r="C95" s="4" t="s">
        <v>439</v>
      </c>
      <c r="D95" s="4" t="s">
        <v>19</v>
      </c>
      <c r="E95" s="4" t="s">
        <v>36</v>
      </c>
      <c r="F95" s="4" t="s">
        <v>440</v>
      </c>
      <c r="G95" s="4" t="s">
        <v>38</v>
      </c>
      <c r="H95" s="4" t="s">
        <v>436</v>
      </c>
      <c r="I95" s="4" t="s">
        <v>32</v>
      </c>
      <c r="J95" s="4" t="s">
        <v>441</v>
      </c>
      <c r="K95" s="5"/>
      <c r="L95" s="5" t="s">
        <v>26</v>
      </c>
      <c r="M95" s="4" t="s">
        <v>80</v>
      </c>
      <c r="N95" s="4"/>
    </row>
    <row r="96" customFormat="false" ht="15" hidden="false" customHeight="false" outlineLevel="0" collapsed="false">
      <c r="A96" s="6" t="s">
        <v>442</v>
      </c>
      <c r="B96" s="6" t="s">
        <v>443</v>
      </c>
      <c r="C96" s="6" t="s">
        <v>444</v>
      </c>
      <c r="D96" s="6" t="s">
        <v>19</v>
      </c>
      <c r="E96" s="6" t="s">
        <v>20</v>
      </c>
      <c r="F96" s="6" t="s">
        <v>445</v>
      </c>
      <c r="G96" s="6" t="s">
        <v>44</v>
      </c>
      <c r="H96" s="6" t="s">
        <v>446</v>
      </c>
      <c r="I96" s="6" t="s">
        <v>24</v>
      </c>
      <c r="J96" s="6" t="s">
        <v>447</v>
      </c>
      <c r="K96" s="7"/>
      <c r="L96" s="7" t="s">
        <v>26</v>
      </c>
      <c r="M96" s="6" t="s">
        <v>80</v>
      </c>
      <c r="N96" s="6"/>
    </row>
    <row r="97" customFormat="false" ht="15" hidden="false" customHeight="false" outlineLevel="0" collapsed="false">
      <c r="A97" s="4" t="s">
        <v>448</v>
      </c>
      <c r="B97" s="4" t="s">
        <v>443</v>
      </c>
      <c r="C97" s="4" t="s">
        <v>449</v>
      </c>
      <c r="D97" s="4" t="s">
        <v>19</v>
      </c>
      <c r="E97" s="4" t="s">
        <v>36</v>
      </c>
      <c r="F97" s="4" t="s">
        <v>445</v>
      </c>
      <c r="G97" s="4" t="s">
        <v>44</v>
      </c>
      <c r="H97" s="4" t="s">
        <v>39</v>
      </c>
      <c r="I97" s="4" t="s">
        <v>32</v>
      </c>
      <c r="J97" s="4" t="s">
        <v>450</v>
      </c>
      <c r="K97" s="5"/>
      <c r="L97" s="5" t="s">
        <v>26</v>
      </c>
      <c r="M97" s="4" t="s">
        <v>80</v>
      </c>
      <c r="N97" s="4"/>
    </row>
    <row r="98" customFormat="false" ht="23.85" hidden="false" customHeight="false" outlineLevel="0" collapsed="false">
      <c r="A98" s="6" t="s">
        <v>451</v>
      </c>
      <c r="B98" s="6" t="s">
        <v>443</v>
      </c>
      <c r="C98" s="6" t="s">
        <v>452</v>
      </c>
      <c r="D98" s="6" t="s">
        <v>19</v>
      </c>
      <c r="E98" s="6" t="s">
        <v>20</v>
      </c>
      <c r="F98" s="6" t="s">
        <v>453</v>
      </c>
      <c r="G98" s="6" t="s">
        <v>38</v>
      </c>
      <c r="H98" s="6" t="s">
        <v>454</v>
      </c>
      <c r="I98" s="6" t="s">
        <v>24</v>
      </c>
      <c r="J98" s="6" t="s">
        <v>455</v>
      </c>
      <c r="K98" s="7"/>
      <c r="L98" s="7" t="s">
        <v>26</v>
      </c>
      <c r="M98" s="6" t="s">
        <v>80</v>
      </c>
      <c r="N98" s="6"/>
    </row>
    <row r="99" customFormat="false" ht="15" hidden="false" customHeight="false" outlineLevel="0" collapsed="false">
      <c r="A99" s="4" t="s">
        <v>456</v>
      </c>
      <c r="B99" s="4" t="s">
        <v>443</v>
      </c>
      <c r="C99" s="4" t="s">
        <v>457</v>
      </c>
      <c r="D99" s="4" t="s">
        <v>19</v>
      </c>
      <c r="E99" s="4" t="s">
        <v>36</v>
      </c>
      <c r="F99" s="4" t="s">
        <v>458</v>
      </c>
      <c r="G99" s="4" t="s">
        <v>38</v>
      </c>
      <c r="H99" s="4" t="s">
        <v>141</v>
      </c>
      <c r="I99" s="4" t="s">
        <v>32</v>
      </c>
      <c r="J99" s="4" t="s">
        <v>459</v>
      </c>
      <c r="K99" s="5"/>
      <c r="L99" s="5" t="s">
        <v>26</v>
      </c>
      <c r="M99" s="4" t="s">
        <v>80</v>
      </c>
      <c r="N99" s="4"/>
    </row>
    <row r="100" customFormat="false" ht="15" hidden="false" customHeight="false" outlineLevel="0" collapsed="false">
      <c r="A100" s="6" t="s">
        <v>460</v>
      </c>
      <c r="B100" s="6" t="s">
        <v>443</v>
      </c>
      <c r="C100" s="6" t="s">
        <v>461</v>
      </c>
      <c r="D100" s="6" t="s">
        <v>49</v>
      </c>
      <c r="E100" s="6" t="s">
        <v>20</v>
      </c>
      <c r="F100" s="6" t="s">
        <v>462</v>
      </c>
      <c r="G100" s="6" t="s">
        <v>178</v>
      </c>
      <c r="H100" s="6" t="s">
        <v>463</v>
      </c>
      <c r="I100" s="6" t="s">
        <v>180</v>
      </c>
      <c r="J100" s="6" t="s">
        <v>74</v>
      </c>
      <c r="K100" s="7"/>
      <c r="L100" s="7" t="s">
        <v>26</v>
      </c>
      <c r="M100" s="6" t="s">
        <v>53</v>
      </c>
      <c r="N100" s="6"/>
    </row>
  </sheetData>
  <autoFilter ref="A4:N100"/>
  <conditionalFormatting sqref="L5:L100">
    <cfRule type="cellIs" priority="2" operator="equal" aboveAverage="0" equalAverage="0" bottom="0" percent="0" rank="0" text="" dxfId="5">
      <formula>"Pass"</formula>
    </cfRule>
    <cfRule type="cellIs" priority="3" operator="equal" aboveAverage="0" equalAverage="0" bottom="0" percent="0" rank="0" text="" dxfId="6">
      <formula>"Fail"</formula>
    </cfRule>
  </conditionalFormatting>
  <dataValidations count="1">
    <dataValidation allowBlank="false" errorStyle="stop" operator="between" showDropDown="false" showErrorMessage="false" showInputMessage="false" sqref="L5:L100" type="list">
      <formula1>"Not run,Pass,Fail"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0"/>
    <col collapsed="false" customWidth="true" hidden="false" outlineLevel="0" max="6" min="6" style="0" width="22"/>
  </cols>
  <sheetData>
    <row r="1" customFormat="false" ht="17.35" hidden="false" customHeight="false" outlineLevel="0" collapsed="false">
      <c r="A1" s="1" t="s">
        <v>464</v>
      </c>
    </row>
    <row r="3" customFormat="false" ht="15" hidden="false" customHeight="false" outlineLevel="0" collapsed="false">
      <c r="A3" s="3" t="s">
        <v>3</v>
      </c>
      <c r="B3" s="3" t="s">
        <v>465</v>
      </c>
      <c r="C3" s="3" t="s">
        <v>466</v>
      </c>
      <c r="D3" s="3" t="s">
        <v>467</v>
      </c>
      <c r="E3" s="3" t="s">
        <v>26</v>
      </c>
      <c r="F3" s="3" t="s">
        <v>468</v>
      </c>
    </row>
    <row r="4" customFormat="false" ht="15" hidden="false" customHeight="false" outlineLevel="0" collapsed="false">
      <c r="A4" s="8" t="s">
        <v>17</v>
      </c>
      <c r="B4" s="9" t="n">
        <f aca="false">COUNTIFS('Test Cases'!$B:$B,$A4)</f>
        <v>12</v>
      </c>
      <c r="C4" s="9" t="n">
        <f aca="false">COUNTIFS('Test Cases'!$B:$B,$A4,'Test Cases'!$L:$L,"Pass")</f>
        <v>0</v>
      </c>
      <c r="D4" s="9" t="n">
        <f aca="false">COUNTIFS('Test Cases'!$B:$B,$A4,'Test Cases'!$L:$L,"Fail")</f>
        <v>0</v>
      </c>
      <c r="E4" s="9" t="n">
        <f aca="false">COUNTIFS('Test Cases'!$B:$B,$A4,'Test Cases'!$L:$L,"Not run")</f>
        <v>12</v>
      </c>
      <c r="F4" s="10" t="str">
        <f aca="false">IF(C4+D4=0,"-",C4/(C4+D4))</f>
        <v>-</v>
      </c>
    </row>
    <row r="5" customFormat="false" ht="15" hidden="false" customHeight="false" outlineLevel="0" collapsed="false">
      <c r="A5" s="8" t="s">
        <v>91</v>
      </c>
      <c r="B5" s="9" t="n">
        <f aca="false">COUNTIFS('Test Cases'!$B:$B,$A5)</f>
        <v>7</v>
      </c>
      <c r="C5" s="9" t="n">
        <f aca="false">COUNTIFS('Test Cases'!$B:$B,$A5,'Test Cases'!$L:$L,"Pass")</f>
        <v>0</v>
      </c>
      <c r="D5" s="9" t="n">
        <f aca="false">COUNTIFS('Test Cases'!$B:$B,$A5,'Test Cases'!$L:$L,"Fail")</f>
        <v>0</v>
      </c>
      <c r="E5" s="9" t="n">
        <f aca="false">COUNTIFS('Test Cases'!$B:$B,$A5,'Test Cases'!$L:$L,"Not run")</f>
        <v>7</v>
      </c>
      <c r="F5" s="10" t="str">
        <f aca="false">IF(C5+D5=0,"-",C5/(C5+D5))</f>
        <v>-</v>
      </c>
    </row>
    <row r="6" customFormat="false" ht="15" hidden="false" customHeight="false" outlineLevel="0" collapsed="false">
      <c r="A6" s="8" t="s">
        <v>127</v>
      </c>
      <c r="B6" s="9" t="n">
        <f aca="false">COUNTIFS('Test Cases'!$B:$B,$A6)</f>
        <v>6</v>
      </c>
      <c r="C6" s="9" t="n">
        <f aca="false">COUNTIFS('Test Cases'!$B:$B,$A6,'Test Cases'!$L:$L,"Pass")</f>
        <v>0</v>
      </c>
      <c r="D6" s="9" t="n">
        <f aca="false">COUNTIFS('Test Cases'!$B:$B,$A6,'Test Cases'!$L:$L,"Fail")</f>
        <v>0</v>
      </c>
      <c r="E6" s="9" t="n">
        <f aca="false">COUNTIFS('Test Cases'!$B:$B,$A6,'Test Cases'!$L:$L,"Not run")</f>
        <v>6</v>
      </c>
      <c r="F6" s="10" t="str">
        <f aca="false">IF(C6+D6=0,"-",C6/(C6+D6))</f>
        <v>-</v>
      </c>
    </row>
    <row r="7" customFormat="false" ht="15" hidden="false" customHeight="false" outlineLevel="0" collapsed="false">
      <c r="A7" s="8" t="s">
        <v>159</v>
      </c>
      <c r="B7" s="9" t="n">
        <f aca="false">COUNTIFS('Test Cases'!$B:$B,$A7)</f>
        <v>5</v>
      </c>
      <c r="C7" s="9" t="n">
        <f aca="false">COUNTIFS('Test Cases'!$B:$B,$A7,'Test Cases'!$L:$L,"Pass")</f>
        <v>0</v>
      </c>
      <c r="D7" s="9" t="n">
        <f aca="false">COUNTIFS('Test Cases'!$B:$B,$A7,'Test Cases'!$L:$L,"Fail")</f>
        <v>0</v>
      </c>
      <c r="E7" s="9" t="n">
        <f aca="false">COUNTIFS('Test Cases'!$B:$B,$A7,'Test Cases'!$L:$L,"Not run")</f>
        <v>5</v>
      </c>
      <c r="F7" s="10" t="str">
        <f aca="false">IF(C7+D7=0,"-",C7/(C7+D7))</f>
        <v>-</v>
      </c>
    </row>
    <row r="8" customFormat="false" ht="15" hidden="false" customHeight="false" outlineLevel="0" collapsed="false">
      <c r="A8" s="8" t="s">
        <v>183</v>
      </c>
      <c r="B8" s="9" t="n">
        <f aca="false">COUNTIFS('Test Cases'!$B:$B,$A8)</f>
        <v>8</v>
      </c>
      <c r="C8" s="9" t="n">
        <f aca="false">COUNTIFS('Test Cases'!$B:$B,$A8,'Test Cases'!$L:$L,"Pass")</f>
        <v>0</v>
      </c>
      <c r="D8" s="9" t="n">
        <f aca="false">COUNTIFS('Test Cases'!$B:$B,$A8,'Test Cases'!$L:$L,"Fail")</f>
        <v>0</v>
      </c>
      <c r="E8" s="9" t="n">
        <f aca="false">COUNTIFS('Test Cases'!$B:$B,$A8,'Test Cases'!$L:$L,"Not run")</f>
        <v>8</v>
      </c>
      <c r="F8" s="10" t="str">
        <f aca="false">IF(C8+D8=0,"-",C8/(C8+D8))</f>
        <v>-</v>
      </c>
    </row>
    <row r="9" customFormat="false" ht="15" hidden="false" customHeight="false" outlineLevel="0" collapsed="false">
      <c r="A9" s="8" t="s">
        <v>216</v>
      </c>
      <c r="B9" s="9" t="n">
        <f aca="false">COUNTIFS('Test Cases'!$B:$B,$A9)</f>
        <v>10</v>
      </c>
      <c r="C9" s="9" t="n">
        <f aca="false">COUNTIFS('Test Cases'!$B:$B,$A9,'Test Cases'!$L:$L,"Pass")</f>
        <v>0</v>
      </c>
      <c r="D9" s="9" t="n">
        <f aca="false">COUNTIFS('Test Cases'!$B:$B,$A9,'Test Cases'!$L:$L,"Fail")</f>
        <v>0</v>
      </c>
      <c r="E9" s="9" t="n">
        <f aca="false">COUNTIFS('Test Cases'!$B:$B,$A9,'Test Cases'!$L:$L,"Not run")</f>
        <v>10</v>
      </c>
      <c r="F9" s="10" t="str">
        <f aca="false">IF(C9+D9=0,"-",C9/(C9+D9))</f>
        <v>-</v>
      </c>
    </row>
    <row r="10" customFormat="false" ht="15" hidden="false" customHeight="false" outlineLevel="0" collapsed="false">
      <c r="A10" s="8" t="s">
        <v>261</v>
      </c>
      <c r="B10" s="9" t="n">
        <f aca="false">COUNTIFS('Test Cases'!$B:$B,$A10)</f>
        <v>6</v>
      </c>
      <c r="C10" s="9" t="n">
        <f aca="false">COUNTIFS('Test Cases'!$B:$B,$A10,'Test Cases'!$L:$L,"Pass")</f>
        <v>0</v>
      </c>
      <c r="D10" s="9" t="n">
        <f aca="false">COUNTIFS('Test Cases'!$B:$B,$A10,'Test Cases'!$L:$L,"Fail")</f>
        <v>0</v>
      </c>
      <c r="E10" s="9" t="n">
        <f aca="false">COUNTIFS('Test Cases'!$B:$B,$A10,'Test Cases'!$L:$L,"Not run")</f>
        <v>6</v>
      </c>
      <c r="F10" s="10" t="str">
        <f aca="false">IF(C10+D10=0,"-",C10/(C10+D10))</f>
        <v>-</v>
      </c>
    </row>
    <row r="11" customFormat="false" ht="15" hidden="false" customHeight="false" outlineLevel="0" collapsed="false">
      <c r="A11" s="8" t="s">
        <v>284</v>
      </c>
      <c r="B11" s="9" t="n">
        <f aca="false">COUNTIFS('Test Cases'!$B:$B,$A11)</f>
        <v>5</v>
      </c>
      <c r="C11" s="9" t="n">
        <f aca="false">COUNTIFS('Test Cases'!$B:$B,$A11,'Test Cases'!$L:$L,"Pass")</f>
        <v>0</v>
      </c>
      <c r="D11" s="9" t="n">
        <f aca="false">COUNTIFS('Test Cases'!$B:$B,$A11,'Test Cases'!$L:$L,"Fail")</f>
        <v>0</v>
      </c>
      <c r="E11" s="9" t="n">
        <f aca="false">COUNTIFS('Test Cases'!$B:$B,$A11,'Test Cases'!$L:$L,"Not run")</f>
        <v>5</v>
      </c>
      <c r="F11" s="10" t="str">
        <f aca="false">IF(C11+D11=0,"-",C11/(C11+D11))</f>
        <v>-</v>
      </c>
    </row>
    <row r="12" customFormat="false" ht="15" hidden="false" customHeight="false" outlineLevel="0" collapsed="false">
      <c r="A12" s="8" t="s">
        <v>307</v>
      </c>
      <c r="B12" s="9" t="n">
        <f aca="false">COUNTIFS('Test Cases'!$B:$B,$A12)</f>
        <v>6</v>
      </c>
      <c r="C12" s="9" t="n">
        <f aca="false">COUNTIFS('Test Cases'!$B:$B,$A12,'Test Cases'!$L:$L,"Pass")</f>
        <v>0</v>
      </c>
      <c r="D12" s="9" t="n">
        <f aca="false">COUNTIFS('Test Cases'!$B:$B,$A12,'Test Cases'!$L:$L,"Fail")</f>
        <v>0</v>
      </c>
      <c r="E12" s="9" t="n">
        <f aca="false">COUNTIFS('Test Cases'!$B:$B,$A12,'Test Cases'!$L:$L,"Not run")</f>
        <v>6</v>
      </c>
      <c r="F12" s="10" t="str">
        <f aca="false">IF(C12+D12=0,"-",C12/(C12+D12))</f>
        <v>-</v>
      </c>
    </row>
    <row r="13" customFormat="false" ht="15" hidden="false" customHeight="false" outlineLevel="0" collapsed="false">
      <c r="A13" s="8" t="s">
        <v>331</v>
      </c>
      <c r="B13" s="9" t="n">
        <f aca="false">COUNTIFS('Test Cases'!$B:$B,$A13)</f>
        <v>7</v>
      </c>
      <c r="C13" s="9" t="n">
        <f aca="false">COUNTIFS('Test Cases'!$B:$B,$A13,'Test Cases'!$L:$L,"Pass")</f>
        <v>0</v>
      </c>
      <c r="D13" s="9" t="n">
        <f aca="false">COUNTIFS('Test Cases'!$B:$B,$A13,'Test Cases'!$L:$L,"Fail")</f>
        <v>0</v>
      </c>
      <c r="E13" s="9" t="n">
        <f aca="false">COUNTIFS('Test Cases'!$B:$B,$A13,'Test Cases'!$L:$L,"Not run")</f>
        <v>7</v>
      </c>
      <c r="F13" s="10" t="str">
        <f aca="false">IF(C13+D13=0,"-",C13/(C13+D13))</f>
        <v>-</v>
      </c>
    </row>
    <row r="14" customFormat="false" ht="15" hidden="false" customHeight="false" outlineLevel="0" collapsed="false">
      <c r="A14" s="8" t="s">
        <v>360</v>
      </c>
      <c r="B14" s="9" t="n">
        <f aca="false">COUNTIFS('Test Cases'!$B:$B,$A14)</f>
        <v>7</v>
      </c>
      <c r="C14" s="9" t="n">
        <f aca="false">COUNTIFS('Test Cases'!$B:$B,$A14,'Test Cases'!$L:$L,"Pass")</f>
        <v>0</v>
      </c>
      <c r="D14" s="9" t="n">
        <f aca="false">COUNTIFS('Test Cases'!$B:$B,$A14,'Test Cases'!$L:$L,"Fail")</f>
        <v>0</v>
      </c>
      <c r="E14" s="9" t="n">
        <f aca="false">COUNTIFS('Test Cases'!$B:$B,$A14,'Test Cases'!$L:$L,"Not run")</f>
        <v>7</v>
      </c>
      <c r="F14" s="10" t="str">
        <f aca="false">IF(C14+D14=0,"-",C14/(C14+D14))</f>
        <v>-</v>
      </c>
    </row>
    <row r="15" customFormat="false" ht="15" hidden="false" customHeight="false" outlineLevel="0" collapsed="false">
      <c r="A15" s="8" t="s">
        <v>389</v>
      </c>
      <c r="B15" s="9" t="n">
        <f aca="false">COUNTIFS('Test Cases'!$B:$B,$A15)</f>
        <v>4</v>
      </c>
      <c r="C15" s="9" t="n">
        <f aca="false">COUNTIFS('Test Cases'!$B:$B,$A15,'Test Cases'!$L:$L,"Pass")</f>
        <v>0</v>
      </c>
      <c r="D15" s="9" t="n">
        <f aca="false">COUNTIFS('Test Cases'!$B:$B,$A15,'Test Cases'!$L:$L,"Fail")</f>
        <v>0</v>
      </c>
      <c r="E15" s="9" t="n">
        <f aca="false">COUNTIFS('Test Cases'!$B:$B,$A15,'Test Cases'!$L:$L,"Not run")</f>
        <v>4</v>
      </c>
      <c r="F15" s="10" t="str">
        <f aca="false">IF(C15+D15=0,"-",C15/(C15+D15))</f>
        <v>-</v>
      </c>
    </row>
    <row r="16" customFormat="false" ht="15" hidden="false" customHeight="false" outlineLevel="0" collapsed="false">
      <c r="A16" s="8" t="s">
        <v>405</v>
      </c>
      <c r="B16" s="9" t="n">
        <f aca="false">COUNTIFS('Test Cases'!$B:$B,$A16)</f>
        <v>6</v>
      </c>
      <c r="C16" s="9" t="n">
        <f aca="false">COUNTIFS('Test Cases'!$B:$B,$A16,'Test Cases'!$L:$L,"Pass")</f>
        <v>0</v>
      </c>
      <c r="D16" s="9" t="n">
        <f aca="false">COUNTIFS('Test Cases'!$B:$B,$A16,'Test Cases'!$L:$L,"Fail")</f>
        <v>0</v>
      </c>
      <c r="E16" s="9" t="n">
        <f aca="false">COUNTIFS('Test Cases'!$B:$B,$A16,'Test Cases'!$L:$L,"Not run")</f>
        <v>6</v>
      </c>
      <c r="F16" s="10" t="str">
        <f aca="false">IF(C16+D16=0,"-",C16/(C16+D16))</f>
        <v>-</v>
      </c>
    </row>
    <row r="17" customFormat="false" ht="15" hidden="false" customHeight="false" outlineLevel="0" collapsed="false">
      <c r="A17" s="8" t="s">
        <v>433</v>
      </c>
      <c r="B17" s="9" t="n">
        <f aca="false">COUNTIFS('Test Cases'!$B:$B,$A17)</f>
        <v>2</v>
      </c>
      <c r="C17" s="9" t="n">
        <f aca="false">COUNTIFS('Test Cases'!$B:$B,$A17,'Test Cases'!$L:$L,"Pass")</f>
        <v>0</v>
      </c>
      <c r="D17" s="9" t="n">
        <f aca="false">COUNTIFS('Test Cases'!$B:$B,$A17,'Test Cases'!$L:$L,"Fail")</f>
        <v>0</v>
      </c>
      <c r="E17" s="9" t="n">
        <f aca="false">COUNTIFS('Test Cases'!$B:$B,$A17,'Test Cases'!$L:$L,"Not run")</f>
        <v>2</v>
      </c>
      <c r="F17" s="10" t="str">
        <f aca="false">IF(C17+D17=0,"-",C17/(C17+D17))</f>
        <v>-</v>
      </c>
    </row>
    <row r="18" customFormat="false" ht="15" hidden="false" customHeight="false" outlineLevel="0" collapsed="false">
      <c r="A18" s="8" t="s">
        <v>443</v>
      </c>
      <c r="B18" s="9" t="n">
        <f aca="false">COUNTIFS('Test Cases'!$B:$B,$A18)</f>
        <v>5</v>
      </c>
      <c r="C18" s="9" t="n">
        <f aca="false">COUNTIFS('Test Cases'!$B:$B,$A18,'Test Cases'!$L:$L,"Pass")</f>
        <v>0</v>
      </c>
      <c r="D18" s="9" t="n">
        <f aca="false">COUNTIFS('Test Cases'!$B:$B,$A18,'Test Cases'!$L:$L,"Fail")</f>
        <v>0</v>
      </c>
      <c r="E18" s="9" t="n">
        <f aca="false">COUNTIFS('Test Cases'!$B:$B,$A18,'Test Cases'!$L:$L,"Not run")</f>
        <v>5</v>
      </c>
      <c r="F18" s="10" t="str">
        <f aca="false">IF(C18+D18=0,"-",C18/(C18+D18))</f>
        <v>-</v>
      </c>
    </row>
    <row r="19" customFormat="false" ht="15" hidden="false" customHeight="false" outlineLevel="0" collapsed="false">
      <c r="A19" s="11" t="s">
        <v>465</v>
      </c>
      <c r="B19" s="12" t="n">
        <f aca="false">SUM(B4:B18)</f>
        <v>96</v>
      </c>
      <c r="C19" s="12" t="n">
        <f aca="false">SUM(C4:C18)</f>
        <v>0</v>
      </c>
      <c r="D19" s="12" t="n">
        <f aca="false">SUM(D4:D18)</f>
        <v>0</v>
      </c>
      <c r="E19" s="12" t="n">
        <f aca="false">SUM(E4:E18)</f>
        <v>96</v>
      </c>
      <c r="F19" s="13" t="str">
        <f aca="false">IF(C19+D19=0,"-",C19/(C19+D19))</f>
        <v>-</v>
      </c>
    </row>
    <row r="21" customFormat="false" ht="15" hidden="false" customHeight="false" outlineLevel="0" collapsed="false">
      <c r="A21" s="14" t="s">
        <v>469</v>
      </c>
    </row>
    <row r="22" customFormat="false" ht="15" hidden="false" customHeight="false" outlineLevel="0" collapsed="false">
      <c r="A22" s="15" t="s">
        <v>27</v>
      </c>
      <c r="B22" s="15" t="n">
        <f aca="false">COUNTIFS('Test Cases'!$M:$M,$A22)</f>
        <v>58</v>
      </c>
    </row>
    <row r="23" customFormat="false" ht="15" hidden="false" customHeight="false" outlineLevel="0" collapsed="false">
      <c r="A23" s="15" t="s">
        <v>80</v>
      </c>
      <c r="B23" s="15" t="n">
        <f aca="false">COUNTIFS('Test Cases'!$M:$M,$A23)</f>
        <v>23</v>
      </c>
    </row>
    <row r="24" customFormat="false" ht="15" hidden="false" customHeight="false" outlineLevel="0" collapsed="false">
      <c r="A24" s="15" t="s">
        <v>53</v>
      </c>
      <c r="B24" s="15" t="n">
        <f aca="false">COUNTIFS('Test Cases'!$M:$M,$A24)</f>
        <v>15</v>
      </c>
    </row>
    <row r="26" customFormat="false" ht="15" hidden="false" customHeight="false" outlineLevel="0" collapsed="false">
      <c r="A26" s="2" t="s">
        <v>470</v>
      </c>
    </row>
    <row r="27" customFormat="false" ht="15" hidden="false" customHeight="false" outlineLevel="0" collapsed="false">
      <c r="A27" s="2" t="s">
        <v>471</v>
      </c>
    </row>
    <row r="28" customFormat="false" ht="15" hidden="false" customHeight="false" outlineLevel="0" collapsed="false">
      <c r="A28" s="2" t="s">
        <v>472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70"/>
    <col collapsed="false" customWidth="true" hidden="false" outlineLevel="0" max="4" min="4" style="0" width="60"/>
    <col collapsed="false" customWidth="true" hidden="false" outlineLevel="0" max="5" min="5" style="0" width="10"/>
  </cols>
  <sheetData>
    <row r="1" customFormat="false" ht="17.35" hidden="false" customHeight="false" outlineLevel="0" collapsed="false">
      <c r="A1" s="1" t="s">
        <v>473</v>
      </c>
    </row>
    <row r="3" customFormat="false" ht="15" hidden="false" customHeight="false" outlineLevel="0" collapsed="false">
      <c r="A3" s="16" t="s">
        <v>474</v>
      </c>
      <c r="B3" s="16" t="s">
        <v>475</v>
      </c>
      <c r="C3" s="16" t="s">
        <v>476</v>
      </c>
      <c r="D3" s="16" t="s">
        <v>477</v>
      </c>
      <c r="E3" s="16" t="s">
        <v>478</v>
      </c>
    </row>
    <row r="4" customFormat="false" ht="15" hidden="false" customHeight="false" outlineLevel="0" collapsed="false">
      <c r="A4" s="4" t="n">
        <v>1</v>
      </c>
      <c r="B4" s="4" t="s">
        <v>479</v>
      </c>
      <c r="C4" s="4" t="s">
        <v>480</v>
      </c>
      <c r="D4" s="4" t="s">
        <v>481</v>
      </c>
      <c r="E4" s="4" t="s">
        <v>482</v>
      </c>
    </row>
    <row r="5" customFormat="false" ht="15" hidden="false" customHeight="false" outlineLevel="0" collapsed="false">
      <c r="A5" s="4" t="n">
        <v>2</v>
      </c>
      <c r="B5" s="4" t="s">
        <v>479</v>
      </c>
      <c r="C5" s="4" t="s">
        <v>483</v>
      </c>
      <c r="D5" s="4" t="s">
        <v>484</v>
      </c>
      <c r="E5" s="4" t="s">
        <v>482</v>
      </c>
    </row>
    <row r="6" customFormat="false" ht="23.85" hidden="false" customHeight="false" outlineLevel="0" collapsed="false">
      <c r="A6" s="4" t="n">
        <v>3</v>
      </c>
      <c r="B6" s="4" t="s">
        <v>485</v>
      </c>
      <c r="C6" s="4" t="s">
        <v>486</v>
      </c>
      <c r="D6" s="4" t="s">
        <v>487</v>
      </c>
      <c r="E6" s="4" t="s">
        <v>488</v>
      </c>
    </row>
    <row r="7" customFormat="false" ht="23.85" hidden="false" customHeight="false" outlineLevel="0" collapsed="false">
      <c r="A7" s="4" t="n">
        <v>4</v>
      </c>
      <c r="B7" s="4" t="s">
        <v>489</v>
      </c>
      <c r="C7" s="4" t="s">
        <v>490</v>
      </c>
      <c r="D7" s="4" t="s">
        <v>491</v>
      </c>
      <c r="E7" s="4" t="s">
        <v>488</v>
      </c>
    </row>
    <row r="8" customFormat="false" ht="15" hidden="false" customHeight="false" outlineLevel="0" collapsed="false">
      <c r="A8" s="4" t="n">
        <v>5</v>
      </c>
      <c r="B8" s="4" t="s">
        <v>492</v>
      </c>
      <c r="C8" s="4" t="s">
        <v>493</v>
      </c>
      <c r="D8" s="4" t="s">
        <v>494</v>
      </c>
      <c r="E8" s="4" t="s">
        <v>488</v>
      </c>
    </row>
    <row r="9" customFormat="false" ht="15" hidden="false" customHeight="false" outlineLevel="0" collapsed="false">
      <c r="A9" s="4" t="n">
        <v>6</v>
      </c>
      <c r="B9" s="4" t="s">
        <v>492</v>
      </c>
      <c r="C9" s="4" t="s">
        <v>495</v>
      </c>
      <c r="D9" s="4" t="s">
        <v>494</v>
      </c>
      <c r="E9" s="4" t="s">
        <v>488</v>
      </c>
    </row>
    <row r="10" customFormat="false" ht="15" hidden="false" customHeight="false" outlineLevel="0" collapsed="false">
      <c r="A10" s="4" t="n">
        <v>7</v>
      </c>
      <c r="B10" s="4" t="s">
        <v>496</v>
      </c>
      <c r="C10" s="4" t="s">
        <v>497</v>
      </c>
      <c r="D10" s="4" t="s">
        <v>498</v>
      </c>
      <c r="E10" s="4" t="s">
        <v>488</v>
      </c>
    </row>
    <row r="11" customFormat="false" ht="23.85" hidden="false" customHeight="false" outlineLevel="0" collapsed="false">
      <c r="A11" s="4" t="n">
        <v>8</v>
      </c>
      <c r="B11" s="4" t="s">
        <v>489</v>
      </c>
      <c r="C11" s="4" t="s">
        <v>499</v>
      </c>
      <c r="D11" s="4" t="s">
        <v>500</v>
      </c>
      <c r="E11" s="4" t="s">
        <v>501</v>
      </c>
    </row>
    <row r="12" customFormat="false" ht="15" hidden="false" customHeight="false" outlineLevel="0" collapsed="false">
      <c r="A12" s="4" t="n">
        <v>9</v>
      </c>
      <c r="B12" s="4" t="s">
        <v>489</v>
      </c>
      <c r="C12" s="4" t="s">
        <v>502</v>
      </c>
      <c r="D12" s="4" t="s">
        <v>503</v>
      </c>
      <c r="E12" s="4" t="s">
        <v>501</v>
      </c>
    </row>
    <row r="13" customFormat="false" ht="23.85" hidden="false" customHeight="false" outlineLevel="0" collapsed="false">
      <c r="A13" s="4" t="n">
        <v>10</v>
      </c>
      <c r="B13" s="4" t="s">
        <v>489</v>
      </c>
      <c r="C13" s="4" t="s">
        <v>504</v>
      </c>
      <c r="D13" s="4" t="s">
        <v>505</v>
      </c>
      <c r="E13" s="4" t="s">
        <v>488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2026-10-07T06:37:47Z</dcterms:created>
  <dc:creator>openpyxl</dc:creator>
  <dc:description/>
  <dc:language>en-US</dc:language>
  <cp:lastModifiedBy/>
  <dcterms:modified xsi:type="dcterms:W3CDTF">2026-10-07T06:37:47Z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